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32A5BF7-0F35-4B84-9D42-7C8A9A151340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Ringkasan" sheetId="1" r:id="rId1"/>
    <sheet name="Perbandingan" sheetId="2" r:id="rId2"/>
    <sheet name="Perubahan" sheetId="3" r:id="rId3"/>
    <sheet name="Data_05_Agu" sheetId="4" r:id="rId4"/>
    <sheet name="Data_12_Agu" sheetId="5" r:id="rId5"/>
  </sheets>
  <definedNames>
    <definedName name="_xlnm._FilterDatabase" localSheetId="2" hidden="1">Perubahan!$A$3:$X$29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3" l="1"/>
  <c r="M29" i="3"/>
  <c r="J29" i="3"/>
  <c r="P28" i="3"/>
  <c r="M28" i="3"/>
  <c r="J28" i="3"/>
  <c r="P27" i="3"/>
  <c r="M27" i="3"/>
  <c r="J27" i="3"/>
  <c r="P26" i="3"/>
  <c r="M26" i="3"/>
  <c r="J26" i="3"/>
  <c r="P25" i="3"/>
  <c r="M25" i="3"/>
  <c r="J25" i="3"/>
  <c r="P24" i="3"/>
  <c r="M24" i="3"/>
  <c r="J24" i="3"/>
  <c r="P23" i="3"/>
  <c r="M23" i="3"/>
  <c r="J23" i="3"/>
  <c r="P22" i="3"/>
  <c r="M22" i="3"/>
  <c r="J22" i="3"/>
  <c r="P21" i="3"/>
  <c r="M21" i="3"/>
  <c r="J21" i="3"/>
  <c r="P20" i="3"/>
  <c r="M20" i="3"/>
  <c r="J20" i="3"/>
  <c r="P19" i="3"/>
  <c r="M19" i="3"/>
  <c r="J19" i="3"/>
  <c r="P18" i="3"/>
  <c r="M18" i="3"/>
  <c r="J18" i="3"/>
  <c r="P17" i="3"/>
  <c r="M17" i="3"/>
  <c r="J17" i="3"/>
  <c r="P16" i="3"/>
  <c r="M16" i="3"/>
  <c r="J16" i="3"/>
  <c r="P15" i="3"/>
  <c r="M15" i="3"/>
  <c r="J15" i="3"/>
  <c r="P14" i="3"/>
  <c r="M14" i="3"/>
  <c r="J14" i="3"/>
  <c r="P13" i="3"/>
  <c r="M13" i="3"/>
  <c r="J13" i="3"/>
  <c r="P12" i="3"/>
  <c r="M12" i="3"/>
  <c r="J12" i="3"/>
  <c r="P11" i="3"/>
  <c r="M11" i="3"/>
  <c r="J11" i="3"/>
  <c r="P10" i="3"/>
  <c r="M10" i="3"/>
  <c r="J10" i="3"/>
  <c r="P9" i="3"/>
  <c r="M9" i="3"/>
  <c r="J9" i="3"/>
  <c r="P8" i="3"/>
  <c r="M8" i="3"/>
  <c r="J8" i="3"/>
  <c r="P7" i="3"/>
  <c r="M7" i="3"/>
  <c r="J7" i="3"/>
  <c r="P6" i="3"/>
  <c r="M6" i="3"/>
  <c r="J6" i="3"/>
  <c r="P5" i="3"/>
  <c r="M5" i="3"/>
  <c r="J5" i="3"/>
  <c r="P4" i="3"/>
  <c r="M4" i="3"/>
  <c r="J4" i="3"/>
  <c r="P265" i="2"/>
  <c r="M265" i="2"/>
  <c r="J265" i="2"/>
  <c r="P264" i="2"/>
  <c r="M264" i="2"/>
  <c r="J264" i="2"/>
  <c r="P263" i="2"/>
  <c r="M263" i="2"/>
  <c r="J263" i="2"/>
  <c r="P262" i="2"/>
  <c r="M262" i="2"/>
  <c r="J262" i="2"/>
  <c r="P261" i="2"/>
  <c r="M261" i="2"/>
  <c r="J261" i="2"/>
  <c r="P260" i="2"/>
  <c r="M260" i="2"/>
  <c r="J260" i="2"/>
  <c r="P259" i="2"/>
  <c r="M259" i="2"/>
  <c r="J259" i="2"/>
  <c r="P258" i="2"/>
  <c r="M258" i="2"/>
  <c r="J258" i="2"/>
  <c r="P257" i="2"/>
  <c r="M257" i="2"/>
  <c r="J257" i="2"/>
  <c r="P256" i="2"/>
  <c r="M256" i="2"/>
  <c r="J256" i="2"/>
  <c r="P255" i="2"/>
  <c r="M255" i="2"/>
  <c r="J255" i="2"/>
  <c r="P254" i="2"/>
  <c r="M254" i="2"/>
  <c r="J254" i="2"/>
  <c r="P253" i="2"/>
  <c r="M253" i="2"/>
  <c r="J253" i="2"/>
  <c r="P252" i="2"/>
  <c r="M252" i="2"/>
  <c r="J252" i="2"/>
  <c r="P251" i="2"/>
  <c r="M251" i="2"/>
  <c r="J251" i="2"/>
  <c r="P250" i="2"/>
  <c r="M250" i="2"/>
  <c r="J250" i="2"/>
  <c r="P249" i="2"/>
  <c r="M249" i="2"/>
  <c r="J249" i="2"/>
  <c r="P248" i="2"/>
  <c r="M248" i="2"/>
  <c r="J248" i="2"/>
  <c r="P247" i="2"/>
  <c r="M247" i="2"/>
  <c r="J247" i="2"/>
  <c r="P246" i="2"/>
  <c r="M246" i="2"/>
  <c r="J246" i="2"/>
  <c r="P245" i="2"/>
  <c r="M245" i="2"/>
  <c r="J245" i="2"/>
  <c r="P244" i="2"/>
  <c r="M244" i="2"/>
  <c r="J244" i="2"/>
  <c r="P243" i="2"/>
  <c r="M243" i="2"/>
  <c r="J243" i="2"/>
  <c r="P242" i="2"/>
  <c r="M242" i="2"/>
  <c r="J242" i="2"/>
  <c r="P241" i="2"/>
  <c r="M241" i="2"/>
  <c r="J241" i="2"/>
  <c r="P240" i="2"/>
  <c r="M240" i="2"/>
  <c r="J240" i="2"/>
  <c r="P239" i="2"/>
  <c r="M239" i="2"/>
  <c r="J239" i="2"/>
  <c r="P238" i="2"/>
  <c r="M238" i="2"/>
  <c r="J238" i="2"/>
  <c r="P237" i="2"/>
  <c r="M237" i="2"/>
  <c r="J237" i="2"/>
  <c r="P236" i="2"/>
  <c r="M236" i="2"/>
  <c r="J236" i="2"/>
  <c r="P235" i="2"/>
  <c r="M235" i="2"/>
  <c r="J235" i="2"/>
  <c r="P234" i="2"/>
  <c r="M234" i="2"/>
  <c r="J234" i="2"/>
  <c r="P233" i="2"/>
  <c r="M233" i="2"/>
  <c r="J233" i="2"/>
  <c r="P232" i="2"/>
  <c r="M232" i="2"/>
  <c r="J232" i="2"/>
  <c r="P231" i="2"/>
  <c r="M231" i="2"/>
  <c r="J231" i="2"/>
  <c r="P230" i="2"/>
  <c r="M230" i="2"/>
  <c r="J230" i="2"/>
  <c r="P229" i="2"/>
  <c r="M229" i="2"/>
  <c r="J229" i="2"/>
  <c r="P228" i="2"/>
  <c r="M228" i="2"/>
  <c r="J228" i="2"/>
  <c r="P227" i="2"/>
  <c r="M227" i="2"/>
  <c r="J227" i="2"/>
  <c r="P226" i="2"/>
  <c r="M226" i="2"/>
  <c r="J226" i="2"/>
  <c r="P225" i="2"/>
  <c r="M225" i="2"/>
  <c r="J225" i="2"/>
  <c r="P224" i="2"/>
  <c r="M224" i="2"/>
  <c r="J224" i="2"/>
  <c r="P223" i="2"/>
  <c r="M223" i="2"/>
  <c r="J223" i="2"/>
  <c r="P222" i="2"/>
  <c r="M222" i="2"/>
  <c r="J222" i="2"/>
  <c r="P221" i="2"/>
  <c r="M221" i="2"/>
  <c r="J221" i="2"/>
  <c r="P220" i="2"/>
  <c r="M220" i="2"/>
  <c r="J220" i="2"/>
  <c r="P219" i="2"/>
  <c r="M219" i="2"/>
  <c r="J219" i="2"/>
  <c r="P218" i="2"/>
  <c r="M218" i="2"/>
  <c r="J218" i="2"/>
  <c r="P217" i="2"/>
  <c r="M217" i="2"/>
  <c r="J217" i="2"/>
  <c r="P216" i="2"/>
  <c r="M216" i="2"/>
  <c r="J216" i="2"/>
  <c r="P215" i="2"/>
  <c r="M215" i="2"/>
  <c r="J215" i="2"/>
  <c r="P214" i="2"/>
  <c r="M214" i="2"/>
  <c r="J214" i="2"/>
  <c r="P213" i="2"/>
  <c r="M213" i="2"/>
  <c r="J213" i="2"/>
  <c r="P212" i="2"/>
  <c r="M212" i="2"/>
  <c r="J212" i="2"/>
  <c r="P211" i="2"/>
  <c r="M211" i="2"/>
  <c r="J211" i="2"/>
  <c r="P210" i="2"/>
  <c r="M210" i="2"/>
  <c r="J210" i="2"/>
  <c r="P209" i="2"/>
  <c r="M209" i="2"/>
  <c r="J209" i="2"/>
  <c r="P208" i="2"/>
  <c r="M208" i="2"/>
  <c r="J208" i="2"/>
  <c r="P207" i="2"/>
  <c r="M207" i="2"/>
  <c r="J207" i="2"/>
  <c r="P206" i="2"/>
  <c r="M206" i="2"/>
  <c r="J206" i="2"/>
  <c r="P205" i="2"/>
  <c r="M205" i="2"/>
  <c r="J205" i="2"/>
  <c r="P204" i="2"/>
  <c r="M204" i="2"/>
  <c r="J204" i="2"/>
  <c r="P203" i="2"/>
  <c r="M203" i="2"/>
  <c r="J203" i="2"/>
  <c r="P202" i="2"/>
  <c r="M202" i="2"/>
  <c r="J202" i="2"/>
  <c r="P201" i="2"/>
  <c r="M201" i="2"/>
  <c r="J201" i="2"/>
  <c r="P200" i="2"/>
  <c r="M200" i="2"/>
  <c r="J200" i="2"/>
  <c r="P199" i="2"/>
  <c r="M199" i="2"/>
  <c r="J199" i="2"/>
  <c r="P198" i="2"/>
  <c r="M198" i="2"/>
  <c r="J198" i="2"/>
  <c r="P197" i="2"/>
  <c r="M197" i="2"/>
  <c r="J197" i="2"/>
  <c r="P196" i="2"/>
  <c r="M196" i="2"/>
  <c r="J196" i="2"/>
  <c r="P195" i="2"/>
  <c r="M195" i="2"/>
  <c r="J195" i="2"/>
  <c r="P194" i="2"/>
  <c r="M194" i="2"/>
  <c r="J194" i="2"/>
  <c r="P193" i="2"/>
  <c r="M193" i="2"/>
  <c r="J193" i="2"/>
  <c r="P192" i="2"/>
  <c r="M192" i="2"/>
  <c r="J192" i="2"/>
  <c r="P191" i="2"/>
  <c r="M191" i="2"/>
  <c r="J191" i="2"/>
  <c r="P190" i="2"/>
  <c r="M190" i="2"/>
  <c r="J190" i="2"/>
  <c r="P189" i="2"/>
  <c r="M189" i="2"/>
  <c r="J189" i="2"/>
  <c r="P188" i="2"/>
  <c r="M188" i="2"/>
  <c r="J188" i="2"/>
  <c r="P187" i="2"/>
  <c r="M187" i="2"/>
  <c r="J187" i="2"/>
  <c r="P186" i="2"/>
  <c r="M186" i="2"/>
  <c r="J186" i="2"/>
  <c r="P185" i="2"/>
  <c r="M185" i="2"/>
  <c r="J185" i="2"/>
  <c r="P184" i="2"/>
  <c r="M184" i="2"/>
  <c r="J184" i="2"/>
  <c r="P183" i="2"/>
  <c r="M183" i="2"/>
  <c r="J183" i="2"/>
  <c r="P182" i="2"/>
  <c r="M182" i="2"/>
  <c r="J182" i="2"/>
  <c r="P181" i="2"/>
  <c r="M181" i="2"/>
  <c r="J181" i="2"/>
  <c r="P180" i="2"/>
  <c r="M180" i="2"/>
  <c r="J180" i="2"/>
  <c r="P179" i="2"/>
  <c r="M179" i="2"/>
  <c r="J179" i="2"/>
  <c r="P178" i="2"/>
  <c r="M178" i="2"/>
  <c r="J178" i="2"/>
  <c r="P177" i="2"/>
  <c r="M177" i="2"/>
  <c r="J177" i="2"/>
  <c r="P176" i="2"/>
  <c r="M176" i="2"/>
  <c r="J176" i="2"/>
  <c r="P175" i="2"/>
  <c r="M175" i="2"/>
  <c r="J175" i="2"/>
  <c r="P174" i="2"/>
  <c r="M174" i="2"/>
  <c r="J174" i="2"/>
  <c r="P173" i="2"/>
  <c r="M173" i="2"/>
  <c r="J173" i="2"/>
  <c r="P172" i="2"/>
  <c r="M172" i="2"/>
  <c r="J172" i="2"/>
  <c r="P171" i="2"/>
  <c r="M171" i="2"/>
  <c r="J171" i="2"/>
  <c r="P170" i="2"/>
  <c r="M170" i="2"/>
  <c r="J170" i="2"/>
  <c r="P169" i="2"/>
  <c r="M169" i="2"/>
  <c r="J169" i="2"/>
  <c r="P168" i="2"/>
  <c r="M168" i="2"/>
  <c r="J168" i="2"/>
  <c r="P167" i="2"/>
  <c r="M167" i="2"/>
  <c r="J167" i="2"/>
  <c r="P166" i="2"/>
  <c r="M166" i="2"/>
  <c r="J166" i="2"/>
  <c r="P165" i="2"/>
  <c r="M165" i="2"/>
  <c r="J165" i="2"/>
  <c r="P164" i="2"/>
  <c r="M164" i="2"/>
  <c r="J164" i="2"/>
  <c r="P163" i="2"/>
  <c r="M163" i="2"/>
  <c r="J163" i="2"/>
  <c r="P162" i="2"/>
  <c r="M162" i="2"/>
  <c r="J162" i="2"/>
  <c r="P161" i="2"/>
  <c r="M161" i="2"/>
  <c r="J161" i="2"/>
  <c r="P160" i="2"/>
  <c r="M160" i="2"/>
  <c r="J160" i="2"/>
  <c r="P159" i="2"/>
  <c r="M159" i="2"/>
  <c r="J159" i="2"/>
  <c r="P158" i="2"/>
  <c r="M158" i="2"/>
  <c r="J158" i="2"/>
  <c r="P157" i="2"/>
  <c r="M157" i="2"/>
  <c r="J157" i="2"/>
  <c r="P156" i="2"/>
  <c r="M156" i="2"/>
  <c r="J156" i="2"/>
  <c r="P155" i="2"/>
  <c r="M155" i="2"/>
  <c r="J155" i="2"/>
  <c r="P154" i="2"/>
  <c r="M154" i="2"/>
  <c r="J154" i="2"/>
  <c r="P153" i="2"/>
  <c r="M153" i="2"/>
  <c r="J153" i="2"/>
  <c r="P152" i="2"/>
  <c r="M152" i="2"/>
  <c r="J152" i="2"/>
  <c r="P151" i="2"/>
  <c r="M151" i="2"/>
  <c r="J151" i="2"/>
  <c r="P150" i="2"/>
  <c r="M150" i="2"/>
  <c r="J150" i="2"/>
  <c r="P149" i="2"/>
  <c r="M149" i="2"/>
  <c r="J149" i="2"/>
  <c r="P148" i="2"/>
  <c r="M148" i="2"/>
  <c r="J148" i="2"/>
  <c r="P147" i="2"/>
  <c r="M147" i="2"/>
  <c r="J147" i="2"/>
  <c r="P146" i="2"/>
  <c r="M146" i="2"/>
  <c r="J146" i="2"/>
  <c r="P145" i="2"/>
  <c r="M145" i="2"/>
  <c r="J145" i="2"/>
  <c r="P144" i="2"/>
  <c r="M144" i="2"/>
  <c r="J144" i="2"/>
  <c r="P143" i="2"/>
  <c r="M143" i="2"/>
  <c r="J143" i="2"/>
  <c r="P142" i="2"/>
  <c r="M142" i="2"/>
  <c r="J142" i="2"/>
  <c r="P141" i="2"/>
  <c r="M141" i="2"/>
  <c r="J141" i="2"/>
  <c r="P140" i="2"/>
  <c r="M140" i="2"/>
  <c r="J140" i="2"/>
  <c r="P139" i="2"/>
  <c r="M139" i="2"/>
  <c r="J139" i="2"/>
  <c r="P138" i="2"/>
  <c r="M138" i="2"/>
  <c r="J138" i="2"/>
  <c r="P137" i="2"/>
  <c r="M137" i="2"/>
  <c r="J137" i="2"/>
  <c r="P136" i="2"/>
  <c r="M136" i="2"/>
  <c r="J136" i="2"/>
  <c r="P135" i="2"/>
  <c r="M135" i="2"/>
  <c r="J135" i="2"/>
  <c r="P134" i="2"/>
  <c r="M134" i="2"/>
  <c r="J134" i="2"/>
  <c r="P133" i="2"/>
  <c r="M133" i="2"/>
  <c r="J133" i="2"/>
  <c r="P132" i="2"/>
  <c r="M132" i="2"/>
  <c r="J132" i="2"/>
  <c r="P131" i="2"/>
  <c r="M131" i="2"/>
  <c r="J131" i="2"/>
  <c r="P130" i="2"/>
  <c r="M130" i="2"/>
  <c r="J130" i="2"/>
  <c r="P129" i="2"/>
  <c r="M129" i="2"/>
  <c r="J129" i="2"/>
  <c r="P128" i="2"/>
  <c r="M128" i="2"/>
  <c r="J128" i="2"/>
  <c r="P127" i="2"/>
  <c r="M127" i="2"/>
  <c r="J127" i="2"/>
  <c r="P126" i="2"/>
  <c r="M126" i="2"/>
  <c r="J126" i="2"/>
  <c r="P125" i="2"/>
  <c r="M125" i="2"/>
  <c r="J125" i="2"/>
  <c r="P124" i="2"/>
  <c r="M124" i="2"/>
  <c r="J124" i="2"/>
  <c r="P123" i="2"/>
  <c r="M123" i="2"/>
  <c r="J123" i="2"/>
  <c r="P122" i="2"/>
  <c r="M122" i="2"/>
  <c r="J122" i="2"/>
  <c r="P121" i="2"/>
  <c r="M121" i="2"/>
  <c r="J121" i="2"/>
  <c r="P120" i="2"/>
  <c r="M120" i="2"/>
  <c r="J120" i="2"/>
  <c r="P119" i="2"/>
  <c r="M119" i="2"/>
  <c r="J119" i="2"/>
  <c r="P118" i="2"/>
  <c r="M118" i="2"/>
  <c r="J118" i="2"/>
  <c r="P117" i="2"/>
  <c r="M117" i="2"/>
  <c r="J117" i="2"/>
  <c r="P116" i="2"/>
  <c r="M116" i="2"/>
  <c r="J116" i="2"/>
  <c r="P115" i="2"/>
  <c r="M115" i="2"/>
  <c r="J115" i="2"/>
  <c r="P114" i="2"/>
  <c r="M114" i="2"/>
  <c r="J114" i="2"/>
  <c r="P113" i="2"/>
  <c r="M113" i="2"/>
  <c r="J113" i="2"/>
  <c r="P112" i="2"/>
  <c r="M112" i="2"/>
  <c r="J112" i="2"/>
  <c r="P111" i="2"/>
  <c r="M111" i="2"/>
  <c r="J111" i="2"/>
  <c r="P110" i="2"/>
  <c r="M110" i="2"/>
  <c r="J110" i="2"/>
  <c r="P109" i="2"/>
  <c r="M109" i="2"/>
  <c r="J109" i="2"/>
  <c r="P108" i="2"/>
  <c r="M108" i="2"/>
  <c r="J108" i="2"/>
  <c r="P107" i="2"/>
  <c r="M107" i="2"/>
  <c r="J107" i="2"/>
  <c r="P106" i="2"/>
  <c r="M106" i="2"/>
  <c r="J106" i="2"/>
  <c r="P105" i="2"/>
  <c r="M105" i="2"/>
  <c r="J105" i="2"/>
  <c r="P104" i="2"/>
  <c r="M104" i="2"/>
  <c r="J104" i="2"/>
  <c r="P103" i="2"/>
  <c r="M103" i="2"/>
  <c r="J103" i="2"/>
  <c r="P102" i="2"/>
  <c r="M102" i="2"/>
  <c r="J102" i="2"/>
  <c r="P101" i="2"/>
  <c r="M101" i="2"/>
  <c r="J101" i="2"/>
  <c r="P100" i="2"/>
  <c r="M100" i="2"/>
  <c r="J100" i="2"/>
  <c r="P99" i="2"/>
  <c r="M99" i="2"/>
  <c r="J99" i="2"/>
  <c r="P98" i="2"/>
  <c r="M98" i="2"/>
  <c r="J98" i="2"/>
  <c r="P97" i="2"/>
  <c r="M97" i="2"/>
  <c r="J97" i="2"/>
  <c r="P96" i="2"/>
  <c r="M96" i="2"/>
  <c r="J96" i="2"/>
  <c r="P95" i="2"/>
  <c r="M95" i="2"/>
  <c r="J95" i="2"/>
  <c r="P94" i="2"/>
  <c r="M94" i="2"/>
  <c r="J94" i="2"/>
  <c r="P93" i="2"/>
  <c r="M93" i="2"/>
  <c r="J93" i="2"/>
  <c r="P92" i="2"/>
  <c r="M92" i="2"/>
  <c r="J92" i="2"/>
  <c r="P91" i="2"/>
  <c r="M91" i="2"/>
  <c r="J91" i="2"/>
  <c r="P90" i="2"/>
  <c r="M90" i="2"/>
  <c r="J90" i="2"/>
  <c r="P89" i="2"/>
  <c r="M89" i="2"/>
  <c r="J89" i="2"/>
  <c r="P88" i="2"/>
  <c r="M88" i="2"/>
  <c r="J88" i="2"/>
  <c r="P87" i="2"/>
  <c r="M87" i="2"/>
  <c r="J87" i="2"/>
  <c r="P86" i="2"/>
  <c r="M86" i="2"/>
  <c r="J86" i="2"/>
  <c r="P85" i="2"/>
  <c r="M85" i="2"/>
  <c r="J85" i="2"/>
  <c r="P84" i="2"/>
  <c r="M84" i="2"/>
  <c r="J84" i="2"/>
  <c r="P83" i="2"/>
  <c r="M83" i="2"/>
  <c r="J83" i="2"/>
  <c r="P82" i="2"/>
  <c r="M82" i="2"/>
  <c r="J82" i="2"/>
  <c r="P81" i="2"/>
  <c r="M81" i="2"/>
  <c r="J81" i="2"/>
  <c r="P80" i="2"/>
  <c r="M80" i="2"/>
  <c r="J80" i="2"/>
  <c r="P79" i="2"/>
  <c r="M79" i="2"/>
  <c r="J79" i="2"/>
  <c r="P78" i="2"/>
  <c r="M78" i="2"/>
  <c r="J78" i="2"/>
  <c r="P77" i="2"/>
  <c r="M77" i="2"/>
  <c r="J77" i="2"/>
  <c r="P76" i="2"/>
  <c r="M76" i="2"/>
  <c r="J76" i="2"/>
  <c r="P75" i="2"/>
  <c r="M75" i="2"/>
  <c r="J75" i="2"/>
  <c r="P74" i="2"/>
  <c r="M74" i="2"/>
  <c r="J74" i="2"/>
  <c r="P73" i="2"/>
  <c r="M73" i="2"/>
  <c r="J73" i="2"/>
  <c r="P72" i="2"/>
  <c r="M72" i="2"/>
  <c r="J72" i="2"/>
  <c r="P71" i="2"/>
  <c r="M71" i="2"/>
  <c r="J71" i="2"/>
  <c r="P70" i="2"/>
  <c r="M70" i="2"/>
  <c r="J70" i="2"/>
  <c r="P69" i="2"/>
  <c r="M69" i="2"/>
  <c r="J69" i="2"/>
  <c r="P68" i="2"/>
  <c r="M68" i="2"/>
  <c r="J68" i="2"/>
  <c r="P67" i="2"/>
  <c r="M67" i="2"/>
  <c r="J67" i="2"/>
  <c r="P66" i="2"/>
  <c r="M66" i="2"/>
  <c r="J66" i="2"/>
  <c r="P65" i="2"/>
  <c r="M65" i="2"/>
  <c r="J65" i="2"/>
  <c r="P64" i="2"/>
  <c r="M64" i="2"/>
  <c r="J64" i="2"/>
  <c r="P63" i="2"/>
  <c r="M63" i="2"/>
  <c r="J63" i="2"/>
  <c r="P62" i="2"/>
  <c r="M62" i="2"/>
  <c r="J62" i="2"/>
  <c r="P61" i="2"/>
  <c r="M61" i="2"/>
  <c r="J61" i="2"/>
  <c r="P60" i="2"/>
  <c r="M60" i="2"/>
  <c r="J60" i="2"/>
  <c r="P59" i="2"/>
  <c r="M59" i="2"/>
  <c r="J59" i="2"/>
  <c r="P58" i="2"/>
  <c r="M58" i="2"/>
  <c r="J58" i="2"/>
  <c r="P57" i="2"/>
  <c r="M57" i="2"/>
  <c r="J57" i="2"/>
  <c r="P56" i="2"/>
  <c r="M56" i="2"/>
  <c r="J56" i="2"/>
  <c r="P55" i="2"/>
  <c r="M55" i="2"/>
  <c r="J55" i="2"/>
  <c r="P54" i="2"/>
  <c r="M54" i="2"/>
  <c r="J54" i="2"/>
  <c r="P53" i="2"/>
  <c r="M53" i="2"/>
  <c r="J53" i="2"/>
  <c r="P52" i="2"/>
  <c r="M52" i="2"/>
  <c r="J52" i="2"/>
  <c r="P51" i="2"/>
  <c r="M51" i="2"/>
  <c r="J51" i="2"/>
  <c r="P50" i="2"/>
  <c r="M50" i="2"/>
  <c r="J50" i="2"/>
  <c r="P49" i="2"/>
  <c r="M49" i="2"/>
  <c r="J49" i="2"/>
  <c r="P48" i="2"/>
  <c r="M48" i="2"/>
  <c r="J48" i="2"/>
  <c r="P47" i="2"/>
  <c r="M47" i="2"/>
  <c r="J47" i="2"/>
  <c r="P46" i="2"/>
  <c r="M46" i="2"/>
  <c r="J46" i="2"/>
  <c r="P45" i="2"/>
  <c r="M45" i="2"/>
  <c r="J45" i="2"/>
  <c r="P44" i="2"/>
  <c r="M44" i="2"/>
  <c r="J44" i="2"/>
  <c r="P43" i="2"/>
  <c r="M43" i="2"/>
  <c r="J43" i="2"/>
  <c r="P42" i="2"/>
  <c r="M42" i="2"/>
  <c r="J42" i="2"/>
  <c r="P41" i="2"/>
  <c r="M41" i="2"/>
  <c r="J41" i="2"/>
  <c r="P40" i="2"/>
  <c r="M40" i="2"/>
  <c r="J40" i="2"/>
  <c r="P39" i="2"/>
  <c r="M39" i="2"/>
  <c r="J39" i="2"/>
  <c r="P38" i="2"/>
  <c r="M38" i="2"/>
  <c r="J38" i="2"/>
  <c r="P37" i="2"/>
  <c r="M37" i="2"/>
  <c r="J37" i="2"/>
  <c r="P36" i="2"/>
  <c r="M36" i="2"/>
  <c r="J36" i="2"/>
  <c r="P35" i="2"/>
  <c r="M35" i="2"/>
  <c r="J35" i="2"/>
  <c r="P34" i="2"/>
  <c r="M34" i="2"/>
  <c r="J34" i="2"/>
  <c r="P33" i="2"/>
  <c r="M33" i="2"/>
  <c r="J33" i="2"/>
  <c r="P32" i="2"/>
  <c r="M32" i="2"/>
  <c r="J32" i="2"/>
  <c r="P31" i="2"/>
  <c r="M31" i="2"/>
  <c r="J31" i="2"/>
  <c r="P30" i="2"/>
  <c r="M30" i="2"/>
  <c r="J30" i="2"/>
  <c r="P29" i="2"/>
  <c r="M29" i="2"/>
  <c r="J29" i="2"/>
  <c r="P28" i="2"/>
  <c r="M28" i="2"/>
  <c r="J28" i="2"/>
  <c r="P27" i="2"/>
  <c r="M27" i="2"/>
  <c r="J27" i="2"/>
  <c r="P26" i="2"/>
  <c r="M26" i="2"/>
  <c r="J26" i="2"/>
  <c r="P25" i="2"/>
  <c r="M25" i="2"/>
  <c r="J25" i="2"/>
  <c r="P24" i="2"/>
  <c r="M24" i="2"/>
  <c r="J24" i="2"/>
  <c r="P23" i="2"/>
  <c r="M23" i="2"/>
  <c r="J23" i="2"/>
  <c r="P22" i="2"/>
  <c r="M22" i="2"/>
  <c r="J22" i="2"/>
  <c r="P21" i="2"/>
  <c r="M21" i="2"/>
  <c r="J21" i="2"/>
  <c r="P20" i="2"/>
  <c r="M20" i="2"/>
  <c r="J20" i="2"/>
  <c r="P19" i="2"/>
  <c r="M19" i="2"/>
  <c r="J19" i="2"/>
  <c r="P18" i="2"/>
  <c r="M18" i="2"/>
  <c r="J18" i="2"/>
  <c r="P17" i="2"/>
  <c r="M17" i="2"/>
  <c r="J17" i="2"/>
  <c r="P16" i="2"/>
  <c r="M16" i="2"/>
  <c r="J16" i="2"/>
  <c r="P15" i="2"/>
  <c r="M15" i="2"/>
  <c r="J15" i="2"/>
  <c r="P14" i="2"/>
  <c r="M14" i="2"/>
  <c r="J14" i="2"/>
  <c r="P13" i="2"/>
  <c r="M13" i="2"/>
  <c r="J13" i="2"/>
  <c r="P12" i="2"/>
  <c r="M12" i="2"/>
  <c r="J12" i="2"/>
  <c r="P11" i="2"/>
  <c r="M11" i="2"/>
  <c r="J11" i="2"/>
  <c r="P10" i="2"/>
  <c r="M10" i="2"/>
  <c r="J10" i="2"/>
  <c r="P9" i="2"/>
  <c r="M9" i="2"/>
  <c r="J9" i="2"/>
  <c r="P8" i="2"/>
  <c r="M8" i="2"/>
  <c r="J8" i="2"/>
  <c r="P7" i="2"/>
  <c r="M7" i="2"/>
  <c r="J7" i="2"/>
  <c r="P6" i="2"/>
  <c r="M6" i="2"/>
  <c r="J6" i="2"/>
  <c r="P5" i="2"/>
  <c r="M5" i="2"/>
  <c r="J5" i="2"/>
  <c r="P4" i="2"/>
  <c r="M4" i="2"/>
  <c r="J4" i="2"/>
  <c r="D8" i="1"/>
  <c r="C8" i="1"/>
  <c r="B8" i="1"/>
  <c r="D7" i="1"/>
  <c r="D6" i="1"/>
  <c r="D5" i="1"/>
</calcChain>
</file>

<file path=xl/sharedStrings.xml><?xml version="1.0" encoding="utf-8"?>
<sst xmlns="http://schemas.openxmlformats.org/spreadsheetml/2006/main" count="8999" uniqueCount="727">
  <si>
    <t>Ringkasan Perbandingan Pengadaan — BPVP Bandung Barat</t>
  </si>
  <si>
    <t>Perbandingan data 5 Agustus 2026 dan 12 Agustus 2026 berdasarkan Kode RUP</t>
  </si>
  <si>
    <t>Indikator</t>
  </si>
  <si>
    <t>5 Agustus 2026</t>
  </si>
  <si>
    <t>12 Agustus 2026</t>
  </si>
  <si>
    <t>Perubahan</t>
  </si>
  <si>
    <t>Jumlah Paket</t>
  </si>
  <si>
    <t>Total Pagu (Rp)</t>
  </si>
  <si>
    <t>Total Realisasi (Rp)</t>
  </si>
  <si>
    <t>Realisasi terhadap Pagu</t>
  </si>
  <si>
    <t>Klasifikasi Paket</t>
  </si>
  <si>
    <t>Jumlah</t>
  </si>
  <si>
    <t>Paket Baru</t>
  </si>
  <si>
    <t>Tidak Muncul</t>
  </si>
  <si>
    <t>Berubah</t>
  </si>
  <si>
    <t>Tetap</t>
  </si>
  <si>
    <t>Temuan Utama</t>
  </si>
  <si>
    <t>• Jumlah paket berkurang dari 261 menjadi 255 paket.
• Total pagu turun Rp533.200.000, dari Rp13.631.713.000 menjadi Rp13.098.513.000.
• Total realisasi turun Rp563.811.402, dari Rp3.387.279.912 menjadi Rp2.823.468.510.
• Terdapat 1 paket baru, 7 paket tidak lagi muncul, 18 paket berubah, dan 236 paket tetap.
• Perubahan realisasi terbesar pada paket yang tetap ada: Kode RUP 67239857 — Bahan Pelatihan Nonboarding Kegiatan PBK Batch 2 UPTD PK Disnaker Kab. Cirebon, turun Rp167.890.319.
• Pada data 5 Agustus terdapat Kode RUP gabungan dengan pemisah ';' yang tidak lagi muncul dalam bentuk gabungan pada data 12 Agustus; kode tersebut dipertahankan sesuai sumber agar jejak perubahan tetap terlihat.</t>
  </si>
  <si>
    <t>Perbandingan Ringkasan Pengadaan — BPVP Bandung Barat | 5 vs 12 Agustus 2026</t>
  </si>
  <si>
    <t>Kode RUP</t>
  </si>
  <si>
    <t>Satuan Kerja</t>
  </si>
  <si>
    <t>Nama PPK</t>
  </si>
  <si>
    <t>Nama Paket</t>
  </si>
  <si>
    <t>Metode</t>
  </si>
  <si>
    <t>Status 05 Agu</t>
  </si>
  <si>
    <t>Status 12 Agu</t>
  </si>
  <si>
    <t>Pagu 05 Agu (Rp)</t>
  </si>
  <si>
    <t>Pagu 12 Agu (Rp)</t>
  </si>
  <si>
    <t>Δ Pagu (Rp)</t>
  </si>
  <si>
    <t>Realisasi 05 Agu (Rp)</t>
  </si>
  <si>
    <t>Realisasi 12 Agu (Rp)</t>
  </si>
  <si>
    <t>Δ Realisasi (Rp)</t>
  </si>
  <si>
    <t>Realisasi 05 Agu</t>
  </si>
  <si>
    <t>Realisasi 12 Agu</t>
  </si>
  <si>
    <t>Δ Poin Realisasi</t>
  </si>
  <si>
    <t>Kurasi 05 Agu</t>
  </si>
  <si>
    <t>Kurasi 12 Agu</t>
  </si>
  <si>
    <t>Catatan Kurasi 05 Agu</t>
  </si>
  <si>
    <t>Catatan Kurasi 12 Agu</t>
  </si>
  <si>
    <t>Rekomendasi 05 Agu</t>
  </si>
  <si>
    <t>Rekomendasi 12 Agu</t>
  </si>
  <si>
    <t>Jenis Perubahan</t>
  </si>
  <si>
    <t>Rincian Perubahan</t>
  </si>
  <si>
    <t>62660193</t>
  </si>
  <si>
    <t>Balai Pelatihan Vokasi dan Produktivitas Bandung Barat</t>
  </si>
  <si>
    <t>Asep Saepul Muharam</t>
  </si>
  <si>
    <t>Penggandaan Dokumen</t>
  </si>
  <si>
    <t>Pengadaan Langsung</t>
  </si>
  <si>
    <t>BELUM REALISASI</t>
  </si>
  <si>
    <t>Akurat</t>
  </si>
  <si>
    <t>Sesuai ketentuan</t>
  </si>
  <si>
    <t>Tidak ada rekomendasi</t>
  </si>
  <si>
    <t>TETAP</t>
  </si>
  <si>
    <t>Tidak ada perubahan.</t>
  </si>
  <si>
    <t>62723251</t>
  </si>
  <si>
    <t>Alih daya Petugas Kebersihan</t>
  </si>
  <si>
    <t>E-Purchasing</t>
  </si>
  <si>
    <t>ON_PROCESS</t>
  </si>
  <si>
    <t>62723387</t>
  </si>
  <si>
    <t>Alih daya Petugas Keamanan dan Pengemudi Jawa Barat</t>
  </si>
  <si>
    <t>62821593</t>
  </si>
  <si>
    <t>ATK Pelaksanaan Sertifikasi Lulusan Pelatihan_Tahap_Persiapan_RM</t>
  </si>
  <si>
    <t>Metode Pengadaan Langsung sesuai dengan pagu paket sebesar Rp35.700.000 (di bawah Rp200 juta).</t>
  </si>
  <si>
    <t>Lanjutkan proses pengadaan.</t>
  </si>
  <si>
    <t>BERUBAH</t>
  </si>
  <si>
    <t>Nama Paket: ATK tahap persiapan → ATK Pelaksanaan Sertifikasi Lulusan Pelatihan_Tahap_Persiapan_RM; Metode: Pengadaan Langsung → E-Purchasing; Status: BELUM REALISASI → ON_PROCESS; Realisasi: Rp0 → Rp34.328.304; Realisasi (%): 0% → 96%</t>
  </si>
  <si>
    <t>62821597</t>
  </si>
  <si>
    <t>Penggandaan Materi Uji / MUK</t>
  </si>
  <si>
    <t>62821598</t>
  </si>
  <si>
    <t>Makan Pelaksanaan Uji Kompetensi</t>
  </si>
  <si>
    <t>Metode Pengadaan Langsung sesuai dengan pagu paket sebesar Rp45.900.000 (di bawah Rp200 juta).</t>
  </si>
  <si>
    <t>62821599</t>
  </si>
  <si>
    <t>Snack Pelaksanaan Uji Kompetensi</t>
  </si>
  <si>
    <t>Metode Pengadaan Langsung sesuai dengan pagu paket sebesar Rp20.400.000 (di bawah Rp200 juta).</t>
  </si>
  <si>
    <t>62822289</t>
  </si>
  <si>
    <t>ATK</t>
  </si>
  <si>
    <t>Metode Pengadaan Langsung sesuai dengan pagu paket sebesar Rp9.000.000 (di bawah Rp200 juta).</t>
  </si>
  <si>
    <t>62822290</t>
  </si>
  <si>
    <t>Komputer Supply</t>
  </si>
  <si>
    <t>62822291</t>
  </si>
  <si>
    <t>Pelaporan</t>
  </si>
  <si>
    <t>Metode Pengadaan Langsung sesuai dengan pagu paket sebesar Rp250.000 (di bawah Rp200 juta).</t>
  </si>
  <si>
    <t>62822411</t>
  </si>
  <si>
    <t>Bahan Uji Kompetensi</t>
  </si>
  <si>
    <t>COMPLETED</t>
  </si>
  <si>
    <t>Metode Pengadaan Langsung sesuai dengan pagu paket sebesar Rp15.000.000 (di bawah Rp200 juta).</t>
  </si>
  <si>
    <t>Status: BELUM REALISASI → COMPLETED; Realisasi: Rp0 → Rp14.719.559; Realisasi (%): 0% → 98%</t>
  </si>
  <si>
    <t>62822416</t>
  </si>
  <si>
    <t>Metode Pengadaan Langsung sesuai dengan pagu paket sebesar Rp150.000 (di bawah Rp200 juta).</t>
  </si>
  <si>
    <t>62822978</t>
  </si>
  <si>
    <t>Metode Pengadaan Langsung sesuai dengan pagu paket sebesar Rp500.000 (di bawah Rp200 juta).</t>
  </si>
  <si>
    <t>62822979</t>
  </si>
  <si>
    <t>Konsumsi Peserta</t>
  </si>
  <si>
    <t>Metode Pengadaan Langsung sesuai dengan pagu paket sebesar Rp12.160.000 (di bawah Rp200 juta).</t>
  </si>
  <si>
    <t>TIDAK MUNCUL</t>
  </si>
  <si>
    <t>Kode RUP tidak lagi muncul pada data 12 Agustus 2026.</t>
  </si>
  <si>
    <t>62822982</t>
  </si>
  <si>
    <t>Bahan Pelatihan Kejuruan Industri dan Jasa</t>
  </si>
  <si>
    <t>Metode Pengadaan Langsung sesuai dengan pagu paket sebesar Rp26.000.000 (di bawah Rp200 juta).</t>
  </si>
  <si>
    <t>62823900</t>
  </si>
  <si>
    <t>Penggandaan Modul</t>
  </si>
  <si>
    <t>Metode Pengadaan Langsung sesuai dengan pagu paket sebesar Rp11.200.000 (di bawah Rp200 juta).</t>
  </si>
  <si>
    <t>62823902</t>
  </si>
  <si>
    <t>Metode Pengadaan Langsung sesuai dengan pagu paket sebesar Rp44.800.000 (di bawah Rp200 juta).</t>
  </si>
  <si>
    <t>62823903</t>
  </si>
  <si>
    <t>Sertifikat Pelatihan</t>
  </si>
  <si>
    <t>Metode Pengadaan Langsung sesuai dengan pagu paket sebesar Rp1.120.000 (di bawah Rp200 juta).</t>
  </si>
  <si>
    <t>62823906</t>
  </si>
  <si>
    <t>Konsumsi Pembukaan Penutupan</t>
  </si>
  <si>
    <t>Metode Pengadaan Langsung sesuai dengan pagu paket sebesar Rp7.000.000 (di bawah Rp200 juta).</t>
  </si>
  <si>
    <t>62823907</t>
  </si>
  <si>
    <t>Metode Pengadaan Langsung sesuai dengan pagu paket sebesar Rp1.750.000 (di bawah Rp200 juta).</t>
  </si>
  <si>
    <t>62826536</t>
  </si>
  <si>
    <t>Metode pemilihan Pengadaan Langsung untuk Barang dengan pagu Rp75.000 telah sesuai dengan batasan nilai (maksimal Rp200 juta).</t>
  </si>
  <si>
    <t>62826537</t>
  </si>
  <si>
    <t>Bahan Pelatihan</t>
  </si>
  <si>
    <t>Metode Pengadaan Langsung sesuai dengan pagu paket sebesar Rp18.850.000 (di bawah Rp200 juta).</t>
  </si>
  <si>
    <t>62826538</t>
  </si>
  <si>
    <t>Bahan UJK</t>
  </si>
  <si>
    <t>Metode Pengadaan Langsung sesuai dengan pagu paket sebesar Rp12.000.000 (di bawah Rp200 juta).</t>
  </si>
  <si>
    <t>62826539</t>
  </si>
  <si>
    <t>Metode Pengadaan Langsung sesuai dengan pagu paket sebesar Rp1.000.000 (di bawah Rp200 juta).</t>
  </si>
  <si>
    <t>62826540</t>
  </si>
  <si>
    <t>Metode Pengadaan Langsung sesuai dengan pagu paket sebesar Rp80.000 (di bawah Rp200 juta).</t>
  </si>
  <si>
    <t>62827004</t>
  </si>
  <si>
    <t>Konsumsi Tahap Workshop Hasil</t>
  </si>
  <si>
    <t>Metode Pengadaan Langsung sesuai dengan pagu paket sebesar Rp2.250.000 (di bawah Rp200 juta).</t>
  </si>
  <si>
    <t>62827005</t>
  </si>
  <si>
    <t>Konsumsi Tahap Penerapan</t>
  </si>
  <si>
    <t>62827006</t>
  </si>
  <si>
    <t>Snack Rapat Biasa JAWA  BARAT</t>
  </si>
  <si>
    <t>Metode Pengadaan Langsung sesuai dengan pagu paket sebesar Rp840.000 (di bawah Rp200 juta).</t>
  </si>
  <si>
    <t>62827007</t>
  </si>
  <si>
    <t>Metode Pengadaan Langsung sesuai dengan pagu paket sebesar Rp300.000 (di bawah Rp200 juta).</t>
  </si>
  <si>
    <t>62827008</t>
  </si>
  <si>
    <t>Penggandaan</t>
  </si>
  <si>
    <t>62827009</t>
  </si>
  <si>
    <t>Metode Pengadaan Langsung sesuai dengan pagu paket sebesar Rp207.000 (di bawah Rp200 juta).</t>
  </si>
  <si>
    <t>62827010</t>
  </si>
  <si>
    <t>62827011</t>
  </si>
  <si>
    <t>Spanduk Sosialisasi dan Workshop Hasil Bimkom</t>
  </si>
  <si>
    <t>Metode Pengadaan Langsung sesuai dengan pagu paket sebesar Rp200.000 (di bawah Rp200 juta).</t>
  </si>
  <si>
    <t>62827012</t>
  </si>
  <si>
    <t>Bahan Penerapan Bimkom</t>
  </si>
  <si>
    <t>62827013</t>
  </si>
  <si>
    <t>Konsumsi Tahap Sosialisasi</t>
  </si>
  <si>
    <t>62827014</t>
  </si>
  <si>
    <t>Makan Rapat Biasa JAWA  BARAT</t>
  </si>
  <si>
    <t>Metode Pengadaan Langsung sesuai dengan pagu paket sebesar Rp2.100.000 (di bawah Rp200 juta).</t>
  </si>
  <si>
    <t>62827285</t>
  </si>
  <si>
    <t>Metode Pengadaan Langsung sesuai dengan pagu paket sebesar Rp375.000 (di bawah Rp200 juta).</t>
  </si>
  <si>
    <t>62827286</t>
  </si>
  <si>
    <t>Metode Pengadaan Langsung sesuai dengan pagu paket sebesar Rp371.000 (di bawah Rp200 juta).</t>
  </si>
  <si>
    <t>62827287</t>
  </si>
  <si>
    <t>Metode Pengadaan Langsung sesuai dengan pagu paket sebesar Rp110.000 (di bawah Rp200 juta).</t>
  </si>
  <si>
    <t>62827288</t>
  </si>
  <si>
    <t>Metode Pengadaan Langsung sesuai dengan pagu paket sebesar Rp154.000 (di bawah Rp200 juta).</t>
  </si>
  <si>
    <t>62827289</t>
  </si>
  <si>
    <t>62827290</t>
  </si>
  <si>
    <t>Spanduk</t>
  </si>
  <si>
    <t>Metode Pengadaan Langsung sesuai dengan pagu paket sebesar Rp125.000 (di bawah Rp200 juta).</t>
  </si>
  <si>
    <t>62827291</t>
  </si>
  <si>
    <t>Penggandaan Materi</t>
  </si>
  <si>
    <t>Metode Pengadaan Langsung sesuai dengan pagu paket sebesar Rp750.000 (di bawah Rp200 juta).</t>
  </si>
  <si>
    <t>62827292</t>
  </si>
  <si>
    <t>Metode Pengadaan Langsung sesuai dengan pagu paket sebesar Rp13.580.000 (di bawah Rp200 juta).</t>
  </si>
  <si>
    <t>62827293</t>
  </si>
  <si>
    <t>Metode Pengadaan Langsung sesuai dengan pagu paket sebesar Rp2.000.000 (di bawah Rp200 juta).</t>
  </si>
  <si>
    <t>62827402</t>
  </si>
  <si>
    <t>62827403</t>
  </si>
  <si>
    <t>Metode Pengadaan Langsung untuk Barang dengan pagu Rp2.000.000 telah sesuai dengan batasan nilai.</t>
  </si>
  <si>
    <t>Dapat dilanjutkan ke tahap berikutnya.</t>
  </si>
  <si>
    <t>62827404</t>
  </si>
  <si>
    <t>62827405</t>
  </si>
  <si>
    <t>62827407</t>
  </si>
  <si>
    <t>62827408</t>
  </si>
  <si>
    <t>62827409</t>
  </si>
  <si>
    <t>62827410</t>
  </si>
  <si>
    <t>62827411</t>
  </si>
  <si>
    <t>62829449</t>
  </si>
  <si>
    <t>62829452</t>
  </si>
  <si>
    <t>Konsumsi Peserta 140 JP</t>
  </si>
  <si>
    <t>Metode Pengadaan Langsung sesuai dengan pagu paket sebesar Rp4.480.000 (di bawah Rp200 juta).</t>
  </si>
  <si>
    <t>62829453</t>
  </si>
  <si>
    <t>Metode pemilihan Pengadaan Langsung sesuai dengan pagu paket sebesar Rp1.750.000 (di bawah Rp200 juta).</t>
  </si>
  <si>
    <t>62829454</t>
  </si>
  <si>
    <t>Safety Shoes</t>
  </si>
  <si>
    <t>Metode Pengadaan Langsung sesuai dengan pagu paket sebesar Rp5.600.000 (di bawah Rp200 juta).</t>
  </si>
  <si>
    <t>62829461</t>
  </si>
  <si>
    <t>Konsumsi Peserta 340 JP</t>
  </si>
  <si>
    <t>Metode Pengadaan Langsung sesuai dengan pagu paket sebesar Rp21.760.000 (di bawah Rp200 juta).</t>
  </si>
  <si>
    <t>62829982</t>
  </si>
  <si>
    <t>62829985</t>
  </si>
  <si>
    <t>62829986</t>
  </si>
  <si>
    <t>62829991</t>
  </si>
  <si>
    <t>Metode Pengadaan Langsung sesuai dengan pagu paket sebesar Rp3.500.000 (di bawah Rp200 juta).</t>
  </si>
  <si>
    <t>62829992</t>
  </si>
  <si>
    <t>62829993</t>
  </si>
  <si>
    <t>62830206</t>
  </si>
  <si>
    <t>Konsumsi Peserta 260 JP</t>
  </si>
  <si>
    <t>Metode Pengadaan Langsung sesuai dengan pagu paket sebesar Rp33.280.000 (di bawah Rp200 juta).</t>
  </si>
  <si>
    <t>62830207</t>
  </si>
  <si>
    <t>Metode pemilihan Pengadaan Langsung untuk Barang dengan pagu Rp1.000.000 telah sesuai dengan batasan nilai (maksimal Rp200 juta).</t>
  </si>
  <si>
    <t>62830209</t>
  </si>
  <si>
    <t>Metode pemilihan Pengadaan Langsung sesuai dengan pagu paket sebesar Rp6.400.000 (di bawah Rp200 juta).</t>
  </si>
  <si>
    <t>62830210</t>
  </si>
  <si>
    <t>Metode Pengadaan Langsung sesuai dengan pagu paket sebesar Rp640.000 (di bawah Rp200 juta).</t>
  </si>
  <si>
    <t>62830211</t>
  </si>
  <si>
    <t>Pakaian Kerja</t>
  </si>
  <si>
    <t>Metode Pengadaan Langsung sesuai dengan pagu paket sebesar Rp9.600.000 (di bawah Rp200 juta).</t>
  </si>
  <si>
    <t>62830212</t>
  </si>
  <si>
    <t>Bahan Pelatihan Digital Marketng 260 JP</t>
  </si>
  <si>
    <t>Metode Pengadaan Langsung sesuai dengan pagu paket sebesar Rp44.000.000 (di bawah Rp200 juta).</t>
  </si>
  <si>
    <t>62830213</t>
  </si>
  <si>
    <t>Bahan Pelatihan Teknisi Telepon Seluler Perangkat Keras 260 JP</t>
  </si>
  <si>
    <t>Metode Pengadaan Langsung sesuai dengan pagu paket sebesar Rp48.000.000 (di bawah Rp200 juta).</t>
  </si>
  <si>
    <t>62830214</t>
  </si>
  <si>
    <t>Metode Pengadaan Langsung sesuai dengan pagu paket sebesar Rp3.280.000 (di bawah Rp200 juta).</t>
  </si>
  <si>
    <t>62830216</t>
  </si>
  <si>
    <t>62830217</t>
  </si>
  <si>
    <t>62830436</t>
  </si>
  <si>
    <t>62830437</t>
  </si>
  <si>
    <t>Metode Pengadaan Langsung untuk Barang dengan pagu Rp2.800.000 telah sesuai dengan batasan nilai.</t>
  </si>
  <si>
    <t>62830438</t>
  </si>
  <si>
    <t>62830439</t>
  </si>
  <si>
    <t>Metode Pengadaan Langsung sesuai dengan pagu paket sebesar Rp1.400.000 (di bawah Rp200 juta).</t>
  </si>
  <si>
    <t>62830442</t>
  </si>
  <si>
    <t>62830447</t>
  </si>
  <si>
    <t>Metode Pengadaan Langsung sesuai dengan pagu paket sebesar Rp3.234.000 (di bawah Rp200 juta).</t>
  </si>
  <si>
    <t>62830619</t>
  </si>
  <si>
    <t>Metode Pengadaan Langsung sesuai dengan pagu paket sebesar Rp1.250.000 (di bawah Rp200 juta).</t>
  </si>
  <si>
    <t>62830620</t>
  </si>
  <si>
    <t>Konsumsi Peserta 180 JP</t>
  </si>
  <si>
    <t>Metode Pengadaan Langsung sesuai dengan pagu paket sebesar Rp23.040.000 (di bawah Rp200 juta).</t>
  </si>
  <si>
    <t>62830621</t>
  </si>
  <si>
    <t>Metode Pengadaan Langsung sesuai dengan pagu paket sebesar Rp8.000.000 (di bawah Rp200 juta).</t>
  </si>
  <si>
    <t>62830624</t>
  </si>
  <si>
    <t>Konsumsi Peserta 420 JP</t>
  </si>
  <si>
    <t>Metode Pengadaan Langsung sesuai dengan pagu paket sebesar Rp13.440.000 (di bawah Rp200 juta).</t>
  </si>
  <si>
    <t>62830627</t>
  </si>
  <si>
    <t>62830628</t>
  </si>
  <si>
    <t>Metode Pengadaan Langsung sesuai untuk pagu di bawah Rp200 juta.</t>
  </si>
  <si>
    <t>62830629</t>
  </si>
  <si>
    <t>62830630</t>
  </si>
  <si>
    <t>62830631</t>
  </si>
  <si>
    <t>62830847</t>
  </si>
  <si>
    <t>62830848</t>
  </si>
  <si>
    <t>62830850</t>
  </si>
  <si>
    <t>Metode pemilihan Pengadaan Langsung sesuai dengan pagu paket sebesar Rp3.200.000 (di bawah Rp200 juta).</t>
  </si>
  <si>
    <t>62830851</t>
  </si>
  <si>
    <t>62830852</t>
  </si>
  <si>
    <t>62830854</t>
  </si>
  <si>
    <t>Bahan Pelatihan Menjahit Pakaian Dengan Mesin 260 JP</t>
  </si>
  <si>
    <t>Metode Pengadaan Langsung sesuai untuk pagu di bawah Rp200 juta. Karena nilai &gt;= Rp50 juta, wajib menggunakan SPSE transaksional.</t>
  </si>
  <si>
    <t>Lanjutkan proses pengadaan dengan memastikan transaksi dilakukan melalui SPSE transaksional.</t>
  </si>
  <si>
    <t>62830855</t>
  </si>
  <si>
    <t>62830856</t>
  </si>
  <si>
    <t>62830857</t>
  </si>
  <si>
    <t>65323285</t>
  </si>
  <si>
    <t>Pengadaan Langsung Jasa Lainnya di bawah Rp200 juta.</t>
  </si>
  <si>
    <t>-</t>
  </si>
  <si>
    <t>65323391</t>
  </si>
  <si>
    <t>65439630</t>
  </si>
  <si>
    <t>Pengiriman Sertifikat BNSP</t>
  </si>
  <si>
    <t>Pagu Rp5.396.000 untuk jenis pengadaan Jasa Lainnya sesuai menggunakan metode Pengadaan Langsung (maksimal Rp200.000.000).</t>
  </si>
  <si>
    <t>–</t>
  </si>
  <si>
    <t>65456789</t>
  </si>
  <si>
    <t>Pembelian Pakan Ikan dan Obat-Obatan</t>
  </si>
  <si>
    <t>Metode E-Purchasing tidak dibatasi oleh nilai pagu pengadaan.</t>
  </si>
  <si>
    <t>65456955</t>
  </si>
  <si>
    <t>Pembelian Bibit Sayur Pertanian</t>
  </si>
  <si>
    <t>Pagu Rp12.000.000 untuk jenis pengadaan Barang sesuai menggunakan metode Pengadaan Langsung (maksimal Rp200.000.000).</t>
  </si>
  <si>
    <t>65457632</t>
  </si>
  <si>
    <t>Jasa Pembuangan Sampah</t>
  </si>
  <si>
    <t>Pagu Rp12.000.000 untuk jenis pengadaan Jasa Lainnya sesuai menggunakan metode Pengadaan Langsung (maksimal Rp200.000.000).</t>
  </si>
  <si>
    <t>65458234</t>
  </si>
  <si>
    <t>Biaya pemeliharaan dan Operasional Kendaraan Roda 2</t>
  </si>
  <si>
    <t>Pagu Rp11.250.000 untuk jenis pengadaan Jasa Lainnya sesuai menggunakan metode Pengadaan Langsung (maksimal Rp200.000.000).</t>
  </si>
  <si>
    <t>65459969</t>
  </si>
  <si>
    <t>Pemelihraan CCTV</t>
  </si>
  <si>
    <t>Pagu Rp4.500.000 untuk jenis pengadaan Jasa Lainnya sesuai menggunakan metode Pengadaan Langsung (maksimal Rp200.000.000).</t>
  </si>
  <si>
    <t>65460565</t>
  </si>
  <si>
    <t>Pemeliharaan Jaringan Internet/ LAN</t>
  </si>
  <si>
    <t>65461139</t>
  </si>
  <si>
    <t>Pemelihraan Mesin AIr</t>
  </si>
  <si>
    <t>65461369</t>
  </si>
  <si>
    <t>Pemeliharaan Hewan Ternak</t>
  </si>
  <si>
    <t>Pagu Rp2.000.000 untuk jenis pengadaan Jasa Lainnya sesuai menggunakan metode Pengadaan Langsung (maksimal Rp200.000.000).</t>
  </si>
  <si>
    <t>65709705</t>
  </si>
  <si>
    <t>Bahan Pelatihan Plate Welder SMAW 3G-UP/PF 340 JP</t>
  </si>
  <si>
    <t>Pagu Rp74.000.000 untuk jenis pengadaan Barang sesuai dengan metode Pengadaan Langsung (maksimal Rp200.000.000).</t>
  </si>
  <si>
    <t>-"</t>
  </si>
  <si>
    <t>Status: COMPLETED → BELUM REALISASI; Realisasi: Rp73.546.380 → Rp0; Realisasi (%): 99% → 0%</t>
  </si>
  <si>
    <t>65783724</t>
  </si>
  <si>
    <t>Konsumsi Peserta Pelatihan Pengelola LSP</t>
  </si>
  <si>
    <t>Pagu Rp3.500.000 untuk jenis pengadaan Barang sesuai dengan metode Pengadaan Langsung (maksimal Rp200.000.000).</t>
  </si>
  <si>
    <t>65783750</t>
  </si>
  <si>
    <t>Pembuatan Spanduk</t>
  </si>
  <si>
    <t>Pagu Rp190.000 untuk jenis pengadaan Barang sesuai dengan metode Pengadaan Langsung (maksimal Rp200.000.000).</t>
  </si>
  <si>
    <t>65784460</t>
  </si>
  <si>
    <t>Surveilence ISO 9001:2015 dan 15001:2015</t>
  </si>
  <si>
    <t>Pagu Rp50.000.000 untuk jenis pengadaan Jasa Lainnya sesuai dengan metode Pengadaan Langsung (maksimal Rp200.000.000).</t>
  </si>
  <si>
    <t>65784483</t>
  </si>
  <si>
    <t>Sertifikasi ISO 37001; 2025</t>
  </si>
  <si>
    <t>Pagu Rp56.500.000 untuk jenis pengadaan Jasa Lainnya sesuai dengan metode Pengadaan Langsung (maksimal Rp200.000.000).</t>
  </si>
  <si>
    <t>65784936</t>
  </si>
  <si>
    <t>ATK Monev</t>
  </si>
  <si>
    <t>Pagu Rp2.000.000 untuk jenis pengadaan Barang sesuai dengan metode Pengadaan Langsung (maksimal Rp200.000.000).</t>
  </si>
  <si>
    <t>65784979</t>
  </si>
  <si>
    <t>Komputer Supply  Monev</t>
  </si>
  <si>
    <t>65784994</t>
  </si>
  <si>
    <t>Penggandaan dan Penjilidan</t>
  </si>
  <si>
    <t>Pagu Rp1.000.000 untuk jenis pengadaan Barang sesuai dengan metode Pengadaan Langsung (maksimal Rp200.000.000).</t>
  </si>
  <si>
    <t>65785040</t>
  </si>
  <si>
    <t>Makan Rapat Biasa Jawa Barat</t>
  </si>
  <si>
    <t>Pagu Rp4.500.000 untuk jenis pengadaan Barang sesuai dengan metode Pengadaan Langsung (maksimal Rp200.000.000).</t>
  </si>
  <si>
    <t>65785051</t>
  </si>
  <si>
    <t>Snack Rapat Biasa Jawa Barat</t>
  </si>
  <si>
    <t>Pagu Rp1.980.000 untuk jenis pengadaan Barang sesuai dengan metode Pengadaan Langsung (maksimal Rp200.000.000).</t>
  </si>
  <si>
    <t>65802925</t>
  </si>
  <si>
    <t>Pagu Rp4.480.000 untuk jenis pengadaan Barang sesuai dengan metode Pengadaan Langsung (maksimal Rp200.000.000).</t>
  </si>
  <si>
    <t>65803207</t>
  </si>
  <si>
    <t>Konsumsi Peserta 160 JP</t>
  </si>
  <si>
    <t>Pagu Rp5.120.000 untuk Pengadaan Langsung Barang sesuai ketentuan (maksimal Rp200.000.000).</t>
  </si>
  <si>
    <t>65827088</t>
  </si>
  <si>
    <t>keperluan Sehari-hari Perkantoran lebih dari 40 Pegawai (Jawa Barat)</t>
  </si>
  <si>
    <t>Pagu Rp147.440.000 untuk Pengadaan Langsung Barang sesuai ketentuan (maksimal Rp200.000.000).</t>
  </si>
  <si>
    <t>66148649</t>
  </si>
  <si>
    <t>Pakaian Kerja Peserta Pelatihan Vokasi Bidang Pertanian dan Perikanan dan Pelatihan Vokasi Green Jobs (PNBP)</t>
  </si>
  <si>
    <t>PAYMENT_OUTSIDE_SYSTEM</t>
  </si>
  <si>
    <t>E-Purchasing tidak dibatasi nilai dan sesuai untuk pengadaan tersebut.</t>
  </si>
  <si>
    <t>66153115</t>
  </si>
  <si>
    <t>Pakaian Kerja Pelatihan Vokasi Bidang Industri dan Jasa (RM)</t>
  </si>
  <si>
    <t>Pagu Rp26.400.000 dengan metode E-Purchasing untuk jenis Barang sudah sesuai.</t>
  </si>
  <si>
    <t>66445518</t>
  </si>
  <si>
    <t>Pengadaan Pakaian Kerja dan Safety Shoes Kegiatan PBK Batch 1 di UPTD BLK Kab. Indramayu</t>
  </si>
  <si>
    <t>Pagu Rp20.800.000 untuk Pengadaan Langsung Barang berada di bawah batas maksimal Rp200.000.000.</t>
  </si>
  <si>
    <t>Status: COMPLETED → BELUM REALISASI; Realisasi: Rp20.672.036 → Rp0; Realisasi (%): 99% → 0%</t>
  </si>
  <si>
    <t>66445764</t>
  </si>
  <si>
    <t>Pengadaan Bahan Pelatihan Non Boarding (4 paket) Kegiatan PBK Batch 1 di UPTD BLK Kab.Indramayu</t>
  </si>
  <si>
    <t>Metode pemilihan Pengadaan Langsung untuk Barang dengan pagu Rp164.493.000 telah sesuai dengan batasan nilai (maksimal Rp200 juta).</t>
  </si>
  <si>
    <t>Status: COMPLETED → BELUM REALISASI; Realisasi: Rp163.947.747 → Rp0; Realisasi (%): 100% → 0%</t>
  </si>
  <si>
    <t>66446202</t>
  </si>
  <si>
    <t>Pengadaan Konsumsi Peserta Non Boarding (4 Paket) Kegiatan PBK Batch 1 di UPTD BLK Kab.Indramayu</t>
  </si>
  <si>
    <t>Metode Pengadaan Langsung sesuai untuk Barang/Jasa Lainnya dengan pagu di bawah Rp200.000.000.</t>
  </si>
  <si>
    <t>-"}</t>
  </si>
  <si>
    <t>Status: COMPLETED → BELUM REALISASI; Realisasi: Rp33.821.666 → Rp0; Realisasi (%): 100% → 0%</t>
  </si>
  <si>
    <t>66646930</t>
  </si>
  <si>
    <t>Bahan Pelatihan Nonboarding Kegiatan PBK Batch 1 UPTD PK Disnaker Kab. Cirebon</t>
  </si>
  <si>
    <t>Pagu Rp61.000.000 menggunakan Pengadaan Langsung untuk Barang sesuai karena di bawah atau sama dengan Rp200.000.000.</t>
  </si>
  <si>
    <t>Catatan: Pengadaan Langsung ini wajib menggunakan SPSE fitur transaksional sesuai Perpres 46/2025.</t>
  </si>
  <si>
    <t>Status: COMPLETED → BELUM REALISASI; Realisasi: Rp60.627.534 → Rp0; Realisasi (%): 99% → 0%</t>
  </si>
  <si>
    <t>67049094</t>
  </si>
  <si>
    <t>Biaya Pemeliharaan dan Operasional Kendaraan Roda 4</t>
  </si>
  <si>
    <t>Metode Pengadaan Langsung sesuai untuk jenis pengadaan Jasa Lainnya dengan pagu Rp108.000.000 (maksimal Rp200.000.000).</t>
  </si>
  <si>
    <t>67049128</t>
  </si>
  <si>
    <t>Biaya Pemeliharaan Listrik</t>
  </si>
  <si>
    <t>Pagu Rp65.000.000 untuk Jasa Lainnya sesuai menggunakan Pengadaan Langsung.</t>
  </si>
  <si>
    <t>67049164</t>
  </si>
  <si>
    <t>Biaya Pemeliharaan Peralatan Kejuruan dan Perkantoran</t>
  </si>
  <si>
    <t>Pagu Rp96.552.000 untuk Jasa Lainnya sesuai menggunakan Pengadaan Langsung.</t>
  </si>
  <si>
    <t>67049287</t>
  </si>
  <si>
    <t>Pemeliharaan Halaman Gedung/Bangunan Kantor dan Sarpras Disabilitas (Jawa  Barat)</t>
  </si>
  <si>
    <t>Pagu Rp62.843.000 untuk Jasa Lainnya sesuai menggunakan Pengadaan Langsung.</t>
  </si>
  <si>
    <t>67198199</t>
  </si>
  <si>
    <t>Bayar Langganan Listrik</t>
  </si>
  <si>
    <t>Dikecualikan</t>
  </si>
  <si>
    <t>Metode pengadaan Dikecualikan sesuai untuk pembayaran langganan listrik (PLN).</t>
  </si>
  <si>
    <t>Lanjutkan proses pembayaran sesuai ketentuan pengadaan yang dikecualikan.</t>
  </si>
  <si>
    <t>67198224</t>
  </si>
  <si>
    <t>Bayar Langganan Internet dan Telepon</t>
  </si>
  <si>
    <t>Paket dikecualikan dengan status_dikecualikan true dan pagu Rp312.000.000 dinilai akurat.</t>
  </si>
  <si>
    <t>67198247</t>
  </si>
  <si>
    <t>Pembayaran Langganan Air</t>
  </si>
  <si>
    <t>Paket dikecualikan dengan status_dikecualikan true dan pagu Rp18.000.000 dinilai akurat.</t>
  </si>
  <si>
    <t>67238381</t>
  </si>
  <si>
    <t>Pengadaan Bahan Pelatihan Non Boarding (3 paket) Kegiatan PBK Batch 2 di UPTD BLK Kab.Indramayu</t>
  </si>
  <si>
    <t>Pagu Rp71.000.000 dengan Pengadaan Langsung untuk Barang di bawah batas Rp200.000.000.</t>
  </si>
  <si>
    <t>Status: COMPLETED → BELUM REALISASI; Realisasi: Rp70.584.480 → Rp0; Realisasi (%): 99% → 0%</t>
  </si>
  <si>
    <t>67239857</t>
  </si>
  <si>
    <t>Bahan Pelatihan Nonboarding Kegiatan PBK Batch 2 UPTD PK Disnaker Kab. Cirebon</t>
  </si>
  <si>
    <t>Pagu Rp169.000.000 dengan Pengadaan Langsung untuk Barang di bawah batas Rp200.000.000.</t>
  </si>
  <si>
    <t>Status: COMPLETED → BELUM REALISASI; Realisasi: Rp167.890.319 → Rp0; Realisasi (%): 99% → 0%</t>
  </si>
  <si>
    <t>67240111</t>
  </si>
  <si>
    <t>Pengadaan Bahan Pelatihan Vokasi Nasional Batch 2 UPTD PK Disnaker Kab. Bandung</t>
  </si>
  <si>
    <t>Pagu Rp133.500.000 dengan Pengadaan Langsung untuk Barang di bawah batas Rp200.000.000.</t>
  </si>
  <si>
    <t>Status: COMPLETED → BELUM REALISASI; Realisasi: Rp133.282.251 → Rp0; Realisasi (%): 100% → 0%</t>
  </si>
  <si>
    <t>67253702</t>
  </si>
  <si>
    <t>Pagu Rp12.000.000 dengan E-Purchasing untuk Barang sudah sesuai.</t>
  </si>
  <si>
    <t>67364076</t>
  </si>
  <si>
    <t>ATK Pelaksanaan Sertifikasi Lulusan Pelatihan</t>
  </si>
  <si>
    <t>Pagu Rp102.200.000 dengan E-Purchasing untuk Barang sudah sesuai.</t>
  </si>
  <si>
    <t>67364114</t>
  </si>
  <si>
    <t>Pagu Rp153.000.000 dengan Pengadaan Langsung Barang tidak melebihi batas Rp200.000.000.</t>
  </si>
  <si>
    <t>67364169</t>
  </si>
  <si>
    <t>Metode Pengadaan Langsung untuk Jasa Lainnya dengan pagu Rp131.400.000 telah sesuai dengan batasan nilai (maksimal Rp200 juta).</t>
  </si>
  <si>
    <t>Dapat dilanjutkan. Pastikan proses pemilihan dilakukan melalui SPSE transaksional karena nilai paket di atas Rp50 juta.</t>
  </si>
  <si>
    <t>67364315</t>
  </si>
  <si>
    <t>Pagu Rp58.400.000 dengan Pengadaan Langsung Barang tidak melebihi batas Rp200.000.000.</t>
  </si>
  <si>
    <t>67364338</t>
  </si>
  <si>
    <t>Pagu Rp102.200.000 dengan Pengadaan Langsung Barang tidak melebihi batas Rp200.000.000.</t>
  </si>
  <si>
    <t>67364350</t>
  </si>
  <si>
    <t>Pagu Rp438.000.000 dengan E-Purchasing untuk Jasa Lainnya sudah sesuai.</t>
  </si>
  <si>
    <t>Metode: E-Purchasing → Pengadaan Langsung; Status: BELUM REALISASI → COMPLETED; Realisasi: Rp0 → Rp50.116.529; Realisasi (%): 0% → 11%</t>
  </si>
  <si>
    <t>67364356</t>
  </si>
  <si>
    <t>Pagu Rp160.000 dengan Pengadaan Langsung Barang tidak melebihi batas Rp200.000.000.</t>
  </si>
  <si>
    <t>67364413</t>
  </si>
  <si>
    <t>Konsumsi Peserta Penambahan Ruang Lingkup</t>
  </si>
  <si>
    <t>Pagu Rp1.000.000 dengan Pengadaan Langsung Barang tidak melebihi batas Rp200.000.000.</t>
  </si>
  <si>
    <t>67366809</t>
  </si>
  <si>
    <t>Metode Pengadaan Langsung untuk Barang dengan pagu Rp1.900.000 telah sesuai dengan batasan nilai.</t>
  </si>
  <si>
    <t>67366838</t>
  </si>
  <si>
    <t>Pagu Rp4.275.000 dengan Pengadaan Langsung Barang tidak melebihi batas Rp200.000.000.</t>
  </si>
  <si>
    <t>67367323</t>
  </si>
  <si>
    <t>Bahan Pelatihan Project Based Learning dan Kejuruan Industri &amp; Jasa</t>
  </si>
  <si>
    <t>Pagu Rp85.500.000 dengan Pengadaan Langsung Barang tidak melebihi batas Rp200.000.000.</t>
  </si>
  <si>
    <t>Nama Paket: Bahan Pelatihan Project Based Learning → Bahan Pelatihan Project Based Learning dan Kejuruan Industri &amp; Jasa; Status: BELUM REALISASI → COMPLETED; Pagu: Rp85.500.000 → Rp111.500.000; Realisasi: Rp0 → Rp44.767.920; Realisasi (%): 0% → 40%</t>
  </si>
  <si>
    <t>67367373</t>
  </si>
  <si>
    <t>Konsumsi Peserta PBL</t>
  </si>
  <si>
    <t>Pagu Rp20.160.000 dengan Pengadaan Langsung Jasa Lainnya tidak melebihi batas Rp200.000.000.</t>
  </si>
  <si>
    <t>67367572</t>
  </si>
  <si>
    <t>Penggantian Paket Data Peserta</t>
  </si>
  <si>
    <t>Pagu Rp4.800.000 dengan Pengadaan Langsung Barang tidak melebihi batas Rp200.000.000.</t>
  </si>
  <si>
    <t>67367952</t>
  </si>
  <si>
    <t>Penggandaan Modul PBL</t>
  </si>
  <si>
    <t>67368048</t>
  </si>
  <si>
    <t>Pagu Rp21.600.000 dengan Pengadaan Langsung Barang tidak melebihi batas Rp200.000.000.</t>
  </si>
  <si>
    <t>67368108</t>
  </si>
  <si>
    <t>Pelaporan PBL</t>
  </si>
  <si>
    <t>Pagu Rp750.000 dengan Pengadaan Langsung Barang tidak melebihi batas Rp200.000.000.</t>
  </si>
  <si>
    <t>67370012</t>
  </si>
  <si>
    <t>ATK Penyelenggaraan PBL</t>
  </si>
  <si>
    <t>Pagu Rp7.270.000 dengan Pengadaan Langsung Barang tidak melebihi batas Rp200.000.000.</t>
  </si>
  <si>
    <t>67370252</t>
  </si>
  <si>
    <t>67370429</t>
  </si>
  <si>
    <t>Pelaporan PVN kerjasama UPTD</t>
  </si>
  <si>
    <t>Pagu Rp1.250.000 dengan Pengadaan Langsung Barang tidak melebihi batas Rp200.000.000.</t>
  </si>
  <si>
    <t>67370466</t>
  </si>
  <si>
    <t>Konsumsi Peserta 160 JP PVN kerjasama dengan UPTD</t>
  </si>
  <si>
    <t>Pagu Rp5.120.000 dengan Pengadaan Langsung Barang tidak melebihi batas Rp200.000.000.</t>
  </si>
  <si>
    <t>67370533</t>
  </si>
  <si>
    <t>Konsumsi Peserta 180 JP PVN kerjasama dengan UPTD</t>
  </si>
  <si>
    <t>Pagu Rp23.040.000 dengan Pengadaan Langsung Barang tidak melebihi batas Rp200.000.000.</t>
  </si>
  <si>
    <t>67370581</t>
  </si>
  <si>
    <t>Penggandaan Modul PVN kerjasama dengan UPTD</t>
  </si>
  <si>
    <t>Pagu Rp8.000.000 dengan Pengadaan Langsung Barang tidak melebihi batas Rp200.000.000.</t>
  </si>
  <si>
    <t>67370632</t>
  </si>
  <si>
    <t>Sertifikat pelatihan PVN kerjasama dengan UPTD</t>
  </si>
  <si>
    <t>Pagu Rp800.000 dengan Pengadaan Langsung Barang tidak melebihi batas Rp200.000.000.</t>
  </si>
  <si>
    <t>67374677</t>
  </si>
  <si>
    <t>Pakaian Kerja PVN kerjasama UPTD</t>
  </si>
  <si>
    <t>Pagu Rp12.000.000 dengan Pengadaan Langsung Barang tidak melebihi batas Rp200.000.000.</t>
  </si>
  <si>
    <t>67374715</t>
  </si>
  <si>
    <t>Bahan Pelatihan Merias Wajah 160 JP PVN kerjasama UPTD</t>
  </si>
  <si>
    <t>Pagu Rp16.500.000 dengan Pengadaan Langsung Barang tidak melebihi batas Rp200.000.000.</t>
  </si>
  <si>
    <t>67374740</t>
  </si>
  <si>
    <t>Bahan Pelatihan Fillet Welder SMAW 3F/PF 180 JP PVN kerjasama UPTD</t>
  </si>
  <si>
    <t>Pagu Rp35.000.000 dengan Pengadaan Langsung Barang tidak melebihi batas Rp200.000.000.</t>
  </si>
  <si>
    <t>67374799</t>
  </si>
  <si>
    <t>Bahan pelatihan Asisten pembuatan Pakaian 180 JP PVN kerjasama UPTD</t>
  </si>
  <si>
    <t>Pagu Rp55.500.000 dengan Pengadaan Langsung Barang tidak melebihi batas Rp200.000.000.</t>
  </si>
  <si>
    <t>67374825</t>
  </si>
  <si>
    <t>ATK Pelatihan TMT_RM</t>
  </si>
  <si>
    <t>Pagu Rp8.750.000 dengan Pengadaan Langsung Barang tidak melebihi batas Rp200.000.000.</t>
  </si>
  <si>
    <t>67374842</t>
  </si>
  <si>
    <t>Bahan Pelatihan TMT_PNBP</t>
  </si>
  <si>
    <t>Tidak Akurat</t>
  </si>
  <si>
    <t>Pagu Rp852.000.000 menggunakan Pengadaan Langsung untuk Barang, melebihi batas maksimum Rp200.000.000.</t>
  </si>
  <si>
    <t>Tender</t>
  </si>
  <si>
    <t>Status: COMPLETED → BELUM REALISASI; Realisasi: Rp75.909.331 → Rp0; Realisasi (%): 9% → 0%</t>
  </si>
  <si>
    <t>67374876</t>
  </si>
  <si>
    <t>Pembuatan Spanduk Operasional TMT_RM</t>
  </si>
  <si>
    <t>Metode pemilihan Pengadaan Langsung untuk Barang dengan pagu Rp2.704.000 telah sesuai dengan batasan nilai (maksimal Rp200 juta).</t>
  </si>
  <si>
    <t>67374888</t>
  </si>
  <si>
    <t>Pengembangan SDM_Upgrading Instruktur dan Tenaga pelatihan</t>
  </si>
  <si>
    <t>Pagu Rp51.000.000 dengan Pengadaan Langsung Jasa Lainnya tidak melebihi batas Rp200.000.000.</t>
  </si>
  <si>
    <t>67374905</t>
  </si>
  <si>
    <t>Komputer Supply Pelatihan TMT_RM</t>
  </si>
  <si>
    <t>67374917</t>
  </si>
  <si>
    <t>Dokumentasi dan Pelaporan TMT_RM</t>
  </si>
  <si>
    <t>Pagu Rp6.250.000 dengan Pengadaan Langsung Barang tidak melebihi batas Rp200.000.000.</t>
  </si>
  <si>
    <t>67374934</t>
  </si>
  <si>
    <t>Konsumsi Pelatihan TMT_RM</t>
  </si>
  <si>
    <t>Pagu Rp64.000.000 dengan Pengadaan Langsung Barang tidak melebihi batas Rp200.000.000.</t>
  </si>
  <si>
    <t>Status: BELUM REALISASI → COMPLETED; Realisasi: Rp0 → Rp23.561.600; Realisasi (%): 0% → 37%</t>
  </si>
  <si>
    <t>67374957</t>
  </si>
  <si>
    <t>Konsumsi Pelatihan TMT_PNBP</t>
  </si>
  <si>
    <t>Pagu Rp227.200.000 menggunakan Pengadaan Langsung untuk Barang, melebihi batas maksimum Rp200.000.000.</t>
  </si>
  <si>
    <t>67374977</t>
  </si>
  <si>
    <t>Dokumentasi dan Pelaporan TMT_PNBP</t>
  </si>
  <si>
    <t>Pagu Rp17.750.000 dengan Pengadaan Langsung Barang tidak melebihi batas Rp200.000.000.</t>
  </si>
  <si>
    <t>67375086</t>
  </si>
  <si>
    <t>Bahan Pelatihan TMT_RM</t>
  </si>
  <si>
    <t>Pagu Rp300.000.000 menggunakan Pengadaan Langsung untuk Barang, melebihi batas maksimum Rp200.000.000.</t>
  </si>
  <si>
    <t>Pagu paket sebesar Rp 300.000.000 untuk jenis pengadaan Barang melebihi batas maksimal Pengadaan Langsung yaitu Rp 200.000.000.</t>
  </si>
  <si>
    <t>Gunakan metode E-Purchasing jika produk tersedia di Katalog Elektronik, atau lakukan Tender jika tidak tersedia.</t>
  </si>
  <si>
    <t>Status: BELUM REALISASI → COMPLETED; Realisasi: Rp0 → Rp105.233.402; Realisasi (%): 0% → 35%; Catatan Kurasi AI: Pagu Rp300.000.000 menggunakan Pengadaan Langsung untuk Barang, melebihi batas maksimum Rp200.000.000. → Pagu paket sebesar Rp 300.000.000 untuk jenis pengadaan Barang melebihi batas maksimal Pengadaan Langsung yaitu Rp 200.000.000.; Rekomendasi Kurasi AI: Tender → Gunakan metode E-Purchasing jika produk tersedia di Katalog Elektronik, atau lakukan Tender jika tidak tersedia.</t>
  </si>
  <si>
    <t>67375167</t>
  </si>
  <si>
    <t>Bahan Promosi Pelatihan Vokasi Nasional</t>
  </si>
  <si>
    <t>Pagu Rp22.541.000 dengan Pengadaan Langsung Barang tidak melebihi batas Rp200.000.000.</t>
  </si>
  <si>
    <t>67379550</t>
  </si>
  <si>
    <t>Bahan Inovasi Champion Hub</t>
  </si>
  <si>
    <t>Pagu Rp100.000.000 untuk Pengadaan Langsung Barang sesuai batas maksimal Rp200.000.000.</t>
  </si>
  <si>
    <t>67379552</t>
  </si>
  <si>
    <t>Bahan Kegiatan Talent and inovation Hub pada operasional TMT_RM</t>
  </si>
  <si>
    <t>Pagu Rp8.000.000 untuk Pengadaan Langsung Barang sesuai batas maksimal Rp200.000.000.</t>
  </si>
  <si>
    <t>67379556</t>
  </si>
  <si>
    <t>Konsumsi Kegiatan Talent and Inovation Hub pada Operasional TMT_RM</t>
  </si>
  <si>
    <t>Pagu Rp36.000.000 untuk Pengadaan Langsung Barang sesuai batas maksimal Rp200.000.000.</t>
  </si>
  <si>
    <t>67379565</t>
  </si>
  <si>
    <t>Langganan Aplikasi Virtual Meeting dan Sosial Media</t>
  </si>
  <si>
    <t>Pagu Rp12.400.000 untuk Pengadaan Langsung Barang sesuai batas maksimal Rp200.000.000.</t>
  </si>
  <si>
    <t>67379574</t>
  </si>
  <si>
    <t>Pembuatan Spanduk Pelatihan TMT</t>
  </si>
  <si>
    <t>Pagu Rp2.820.000 untuk Pengadaan Langsung Barang sesuai batas maksimal Rp200.000.000.</t>
  </si>
  <si>
    <t>67379575</t>
  </si>
  <si>
    <t>Langganan Google Drive/Storage</t>
  </si>
  <si>
    <t>Pagu Rp6.000.000 untuk Pengadaan Langsung Barang sesuai batas maksimal Rp200.000.000.</t>
  </si>
  <si>
    <t>67379584</t>
  </si>
  <si>
    <t>ATK Penyelenggaraan Pelatihan Vokasi Nasional</t>
  </si>
  <si>
    <t>Pagu Rp45.500.000 untuk Pengadaan Langsung Barang sesuai batas maksimal Rp200.000.000.</t>
  </si>
  <si>
    <t>67379607</t>
  </si>
  <si>
    <t>Bahan Pelatihan Pariwisata dan Industri Kreatif</t>
  </si>
  <si>
    <t>Pagu Rp190.155.000 untuk Pengadaan Langsung Barang sesuai batas maksimal Rp200.000.000.</t>
  </si>
  <si>
    <t>Status: BELUM REALISASI → COMPLETED; Realisasi: Rp0 → Rp91.165.314; Realisasi (%): 0% → 48%</t>
  </si>
  <si>
    <t>67379643</t>
  </si>
  <si>
    <t>Konsumsi Peserta Pelatihan</t>
  </si>
  <si>
    <t>Metode E-Purchasing tidak dibatasi oleh nilai pagu.</t>
  </si>
  <si>
    <t>67379646</t>
  </si>
  <si>
    <t>Pagu Rp136.000.000 untuk Pengadaan Langsung Barang sesuai batas maksimal Rp200.000.000.</t>
  </si>
  <si>
    <t>67379653</t>
  </si>
  <si>
    <t>Pagu Rp13.600.000 untuk Pengadaan Langsung Barang sesuai batas maksimal Rp200.000.000.</t>
  </si>
  <si>
    <t>67379664</t>
  </si>
  <si>
    <t>Pagu Rp21.250.000 untuk Pengadaan Langsung Barang sesuai batas maksimal Rp200.000.000.</t>
  </si>
  <si>
    <t>67379670</t>
  </si>
  <si>
    <t>Pagu Rp85.000.000 untuk Pengadaan Langsung Barang sesuai batas maksimal Rp200.000.000.</t>
  </si>
  <si>
    <t>67379716</t>
  </si>
  <si>
    <t>Pagu Rp30.035.000 untuk Pengadaan Langsung Jasa Lainnya sesuai batas maksimal Rp200.000.000.</t>
  </si>
  <si>
    <t>67380739</t>
  </si>
  <si>
    <t>Penggandaan Modul pelatihan 40 JP</t>
  </si>
  <si>
    <t>Pagu Rp35.200.000 untuk Pengadaan Langsung Barang sesuai batas maksimal Rp200.000.000.</t>
  </si>
  <si>
    <t>67380766</t>
  </si>
  <si>
    <t>Bahan Pelatihan Green Job 40 JP</t>
  </si>
  <si>
    <t>Metode: E-Purchasing → Pengadaan Langsung; Status: BELUM REALISASI → COMPLETED; Realisasi: Rp0 → Rp74.551.796; Realisasi (%): 0% → 23%</t>
  </si>
  <si>
    <t>67380800</t>
  </si>
  <si>
    <t>Pelaporan Pelatihan 40 JP</t>
  </si>
  <si>
    <t>Pagu Rp5.500.000 untuk Pengadaan Langsung Barang sesuai batas maksimal Rp200.000.000.</t>
  </si>
  <si>
    <t>67380817</t>
  </si>
  <si>
    <t>Konsumsi Peserta pelatihan 40 JP</t>
  </si>
  <si>
    <t>Status: BELUM REALISASI → COMPLETED; Realisasi: Rp0 → Rp7.960.000; Realisasi (%): 0% → 23%</t>
  </si>
  <si>
    <t>67385549</t>
  </si>
  <si>
    <t>Pagu Rp7.000.000 untuk Pengadaan Langsung Barang sesuai batas maksimal Rp200.000.000.</t>
  </si>
  <si>
    <t>67385579</t>
  </si>
  <si>
    <t>Pagu Rp16.800.000 untuk Pengadaan Langsung Barang sesuai batas maksimal Rp200.000.000.</t>
  </si>
  <si>
    <t>67385636</t>
  </si>
  <si>
    <t>Pagu Rp1.120.000 untuk Pengadaan Langsung Barang sesuai batas maksimal Rp200.000.000.</t>
  </si>
  <si>
    <t>67385654</t>
  </si>
  <si>
    <t>Pagu Rp1.750.000 untuk Pengadaan Langsung Barang sesuai batas maksimal Rp200.000.000.</t>
  </si>
  <si>
    <t>67385682</t>
  </si>
  <si>
    <t>Bahan Pelatihan junior Sekretaris 340 JP</t>
  </si>
  <si>
    <t>Pagu Rp24.000.000 untuk Pengadaan Langsung Barang sesuai batas maksimal Rp200.000.000.</t>
  </si>
  <si>
    <t>67385742</t>
  </si>
  <si>
    <t>Pagu Rp33.280.000 untuk Pengadaan Langsung Barang sesuai batas maksimal Rp200.000.000.</t>
  </si>
  <si>
    <t>67385794</t>
  </si>
  <si>
    <t>Bahan Pelatihan menjahit pakaian wanita dewasa 260 JP</t>
  </si>
  <si>
    <t>Pagu Rp89.920.000 untuk Pengadaan Langsung Barang sesuai batas maksimal Rp200.000.000.</t>
  </si>
  <si>
    <t>67385816</t>
  </si>
  <si>
    <t>Pagu Rp11.200.000 untuk Pengadaan Langsung Barang sesuai batas maksimal Rp200.000.000.</t>
  </si>
  <si>
    <t>67385870</t>
  </si>
  <si>
    <t>Bahan Pelatihan pembuatan produk roti dan kue 140 JP</t>
  </si>
  <si>
    <t>Pagu Rp15.000.000 untuk Pengadaan Langsung Barang sesuai batas maksimal Rp200.000.000.</t>
  </si>
  <si>
    <t>67386301</t>
  </si>
  <si>
    <t>Pagu Rp16.640.000 untuk Pengadaan Langsung Jasa Lainnya sesuai batas maksimal Rp200.000.000.</t>
  </si>
  <si>
    <t>67386329</t>
  </si>
  <si>
    <t>67386472</t>
  </si>
  <si>
    <t>Metode Pengadaan Langsung untuk Barang dengan pagu Rp5.760.000 telah sesuai dengan batasan nilai.</t>
  </si>
  <si>
    <t>67386517</t>
  </si>
  <si>
    <t>Konsumsi Peserta 280 JP</t>
  </si>
  <si>
    <t>Metode pemilihan Pengadaan Langsung untuk Barang dengan pagu Rp8.960.000 telah sesuai dengan batasan nilai (maksimal Rp200 juta).</t>
  </si>
  <si>
    <t>67386518</t>
  </si>
  <si>
    <t>Metode pemilihan Pengadaan Langsung untuk Barang dengan pagu Rp10.880.000 telah sesuai dengan batasan nilai (maksimal Rp200 juta).</t>
  </si>
  <si>
    <t>67430068</t>
  </si>
  <si>
    <t>67430075</t>
  </si>
  <si>
    <t>Bahan pelatihan membuat roti dan kue 140 JP</t>
  </si>
  <si>
    <t>Pagu Rp19.500.000 untuk Pengadaan Langsung Barang sesuai batas maksimal Rp200.000.000.</t>
  </si>
  <si>
    <t>67430084</t>
  </si>
  <si>
    <t>Bahan pelatihan Fillet Welder FCAW 2F/PB 160 JP</t>
  </si>
  <si>
    <t>Pagu Rp29.500.000 untuk Pengadaan Langsung Barang sesuai batas maksimal Rp200.000.000.</t>
  </si>
  <si>
    <t>67430093</t>
  </si>
  <si>
    <t>Bahan pelatihan Digital Marketing and Strategy Spesialist 180 JP</t>
  </si>
  <si>
    <t>67430096</t>
  </si>
  <si>
    <t>Bahan Pelatihan Teknisi AC Residential 260 JP</t>
  </si>
  <si>
    <t>Pagu Rp33.500.000 untuk Pengadaan Langsung Barang sesuai batas maksimal Rp200.000.000.</t>
  </si>
  <si>
    <t>67430107</t>
  </si>
  <si>
    <t>Bahan pelatihan Menjahit Pakaian sesuai style 260 JP</t>
  </si>
  <si>
    <t>Pagu Rp22.000.000 untuk Pengadaan Langsung Barang sesuai batas maksimal Rp200.000.000.</t>
  </si>
  <si>
    <t>67430116</t>
  </si>
  <si>
    <t>Bahan pelatihan Operator Forklift 280 JP</t>
  </si>
  <si>
    <t>Metode Pengadaan Langsung untuk Barang dengan pagu Rp44.000.000 telah sesuai dengan batasan nilai.</t>
  </si>
  <si>
    <t>67430126</t>
  </si>
  <si>
    <t>Bahan Pelatihan Plate Welder SMAW 3G-UO/PF 340 JP</t>
  </si>
  <si>
    <t>Pagu Rp71.993.000 untuk Pengadaan Langsung Barang sesuai batas maksimal Rp200.000.000.</t>
  </si>
  <si>
    <t>67430169</t>
  </si>
  <si>
    <t>Pagu Rp49.920.000 untuk Pengadaan Langsung Jasa Lainnya sesuai batas maksimal Rp200.000.000.</t>
  </si>
  <si>
    <t>67430185</t>
  </si>
  <si>
    <t>Pagu Rp10.880.000 untuk Pengadaan Langsung Barang sesuai batas maksimal Rp200.000.000.</t>
  </si>
  <si>
    <t>67430191</t>
  </si>
  <si>
    <t>67430231</t>
  </si>
  <si>
    <t>67430253</t>
  </si>
  <si>
    <t>67430878</t>
  </si>
  <si>
    <t>Bahan pelatihan Menjahit dengan mesin 260 JP</t>
  </si>
  <si>
    <t>Pagu Rp110.000.000 untuk Pengadaan Langsung Barang sesuai batas maksimal Rp200.000.000.</t>
  </si>
  <si>
    <t>67430887</t>
  </si>
  <si>
    <t>Bahan pelatihan Teknisi AC Residential 260 JP</t>
  </si>
  <si>
    <t>67430894</t>
  </si>
  <si>
    <t>Bahan pelatihan Desiner Grafis Muda 260 JP</t>
  </si>
  <si>
    <t>Pagu Rp12.500.000 untuk Pengadaan Langsung Barang sesuai batas maksimal Rp200.000.000.</t>
  </si>
  <si>
    <t>67430899</t>
  </si>
  <si>
    <t>Bahan pelatihan Plate Welder SMAW 3G-UP/PF 340 JP</t>
  </si>
  <si>
    <t>Pagu Rp74.000.000 untuk Pengadaan Langsung Barang sesuai batas maksimal Rp200.000.000.</t>
  </si>
  <si>
    <t>67430909</t>
  </si>
  <si>
    <t>Bahan pelatihan Content Marketing 180 JP</t>
  </si>
  <si>
    <t>Pagu Rp16.000.000 untuk Pengadaan Langsung Barang sesuai batas maksimal Rp200.000.000.</t>
  </si>
  <si>
    <t>67430912</t>
  </si>
  <si>
    <t>Bahan Pelatihan Operator Garmen 180 JP</t>
  </si>
  <si>
    <t>Pagu Rp35.000.000 untuk Pengadaan Langsung Barang sesuai batas maksimal Rp200.000.000.</t>
  </si>
  <si>
    <t>67430915</t>
  </si>
  <si>
    <t>Bahan Pelatihan Pipe Welder SMAW 6G UP Hill/HLO-45 420 JP</t>
  </si>
  <si>
    <t>Pagu Rp82.500.000 untuk Pengadaan Langsung Barang sesuai batas maksimal Rp200.000.000.</t>
  </si>
  <si>
    <t>67430931</t>
  </si>
  <si>
    <t>Pemeliharaan Gedung/Bangunan Kantor Bertingkat (Jawa  Barat)</t>
  </si>
  <si>
    <t>Pagu Rp35.600.000 untuk Pengadaan Langsung Jasa Lainnya sesuai batas maksimal Rp200.000.000.</t>
  </si>
  <si>
    <t>67430933</t>
  </si>
  <si>
    <t>Pemeliharaan Gedung/Bangunan Kantor Tidak Bertingkat (Jawa  Barat)</t>
  </si>
  <si>
    <t>Pagu Rp215.730.000 melebihi batas maksimal Pengadaan Langsung Jasa Lainnya (Rp200.000.000).</t>
  </si>
  <si>
    <t>67430934</t>
  </si>
  <si>
    <t>Pemeliharaan Genset 250 KVA</t>
  </si>
  <si>
    <t>Pagu Rp10.000.000 untuk Pengadaan Langsung Jasa Lainnya sesuai batas maksimal Rp200.000.000.</t>
  </si>
  <si>
    <t>67430937</t>
  </si>
  <si>
    <t>Pemelihraan Personal Computer / Notebook 17 UNIT</t>
  </si>
  <si>
    <t>Pagu Rp12.410.000 untuk Pengadaan Langsung Jasa Lainnya sesuai batas maksimal Rp200.000.000.</t>
  </si>
  <si>
    <t>67430939</t>
  </si>
  <si>
    <t>Pemeliharaan AC Split</t>
  </si>
  <si>
    <t>Pagu Rp2.700.000 untuk Pengadaan Langsung Jasa Lainnya sesuai batas maksimal Rp200.000.000.</t>
  </si>
  <si>
    <t>67430941</t>
  </si>
  <si>
    <t>Pemeliharaan Printer</t>
  </si>
  <si>
    <t>Pagu Rp3.450.000 untuk Pengadaan Langsung Jasa Lainnya sesuai batas maksimal Rp200.000.000.</t>
  </si>
  <si>
    <t>67430943</t>
  </si>
  <si>
    <t>Pembelian Pakan Ternak Kambing dan Kelinci</t>
  </si>
  <si>
    <t>67478132</t>
  </si>
  <si>
    <t>PAKAIAN KERJA PESERTA PELATIHAN VOKASI TAHAP II</t>
  </si>
  <si>
    <t>67519686</t>
  </si>
  <si>
    <t>Bahan Pelatihan Pertanian Perikanan</t>
  </si>
  <si>
    <t>Pagu Rp1.934.345.000 untuk pengadaan Barang melebihi batas maksimal Pengadaan Langsung (Rp200.000.000).</t>
  </si>
  <si>
    <t>67524130</t>
  </si>
  <si>
    <t>Penggandaan Materi Uji/MUK Sertifikasi Pemagangan Nasional</t>
  </si>
  <si>
    <t>Pagu Rp42.500.000 untuk pengadaan Barang menggunakan Pengadaan Langsung sudah sesuai (maksimal Rp200.000.000).</t>
  </si>
  <si>
    <t>67524133</t>
  </si>
  <si>
    <t>Belanja Bahan pelaporan</t>
  </si>
  <si>
    <t>Pagu Rp261.000 untuk pengadaan Barang menggunakan Pengadaan Langsung sudah sesuai (maksimal Rp200.000.000).</t>
  </si>
  <si>
    <t>67524144</t>
  </si>
  <si>
    <t>Konsumsi Peserta RCC asesor Kompetensi</t>
  </si>
  <si>
    <t>Pagu Rp3.100.000 untuk pengadaan Barang menggunakan Pengadaan Langsung sudah sesuai (maksimal Rp200.000.000).</t>
  </si>
  <si>
    <t>67524171</t>
  </si>
  <si>
    <t>ATK TOT dan Sertifikasi Supervisor SDM_petugas K3 dan Asisten Pengembang Web</t>
  </si>
  <si>
    <t>Pagu Rp1.500.000 untuk pengadaan Barang menggunakan Pengadaan Langsung sudah sesuai (maksimal Rp200.000.000).</t>
  </si>
  <si>
    <t>67524175</t>
  </si>
  <si>
    <t>Penggandaan Materi Uji/ MUK TOT dan Sertifikasi Supervisor SDM_petugas K3 dan Asisten Pengembang Web</t>
  </si>
  <si>
    <t>Metode pemilihan Pengadaan Langsung sesuai dengan pagu paket sebesar Rp1.500.000 (di bawah Rp200 juta).</t>
  </si>
  <si>
    <t>67524179</t>
  </si>
  <si>
    <t>Konsumsi Peserta_pengajar dan Panitia</t>
  </si>
  <si>
    <t>Pagu Rp1.950.000 untuk pengadaan Barang menggunakan Pengadaan Langsung sudah sesuai (maksimal Rp200.000.000).</t>
  </si>
  <si>
    <t>67524185</t>
  </si>
  <si>
    <t>pelaporan TOT dan Sertifikasi Suervisor SDM</t>
  </si>
  <si>
    <t>Pagu Rp450.000 untuk pengadaan Barang menggunakan Pengadaan Langsung sudah sesuai (maksimal Rp200.000.000).</t>
  </si>
  <si>
    <t>67524190</t>
  </si>
  <si>
    <t>Pagu Rp3.750.000 untuk pengadaan Barang menggunakan Pengadaan Langsung sudah sesuai (maksimal Rp200.000.000).</t>
  </si>
  <si>
    <t>67524191</t>
  </si>
  <si>
    <t>Pagu Rp3.250.000 untuk pengadaan Barang menggunakan Pengadaan Langsung sudah sesuai (maksimal Rp200.000.000).</t>
  </si>
  <si>
    <t>67524485</t>
  </si>
  <si>
    <t>Pelaporan Pelatihan UPTD</t>
  </si>
  <si>
    <t>Pagu Rp1.250.000 untuk pengadaan Barang menggunakan Pengadaan Langsung sudah sesuai (maksimal Rp200.000.000).</t>
  </si>
  <si>
    <t>67524486</t>
  </si>
  <si>
    <t>Konsumsi peserta pelatihan 140 JP</t>
  </si>
  <si>
    <t>Pagu Rp13.440.000 untuk pengadaan Barang menggunakan Pengadaan Langsung sudah sesuai (maksimal Rp200.000.000).</t>
  </si>
  <si>
    <t>67524489</t>
  </si>
  <si>
    <t>Konsumsi Peserta Pelatihan 180 JP</t>
  </si>
  <si>
    <t>Pagu Rp11.520.000 untuk pengadaan Barang menggunakan Pengadaan Langsung sudah sesuai (maksimal Rp200.000.000).</t>
  </si>
  <si>
    <t>67524490</t>
  </si>
  <si>
    <t>Penggandaan Modul Pelatihan</t>
  </si>
  <si>
    <t>Pagu Rp8.000.000 untuk pengadaan Barang menggunakan Pengadaan Langsung sudah sesuai (maksimal Rp200.000.000).</t>
  </si>
  <si>
    <t>67524492</t>
  </si>
  <si>
    <t>Metode E-Purchasing tidak dibatasi nilai untuk pengadaan Barang.</t>
  </si>
  <si>
    <t>67524493</t>
  </si>
  <si>
    <t>Bahan pelatihan Kue Kering 140 JP</t>
  </si>
  <si>
    <t>Pagu Rp18.500.000 untuk pengadaan Barang menggunakan Pengadaan Langsung sudah sesuai (maksimal Rp200.000.000).</t>
  </si>
  <si>
    <t>67524494</t>
  </si>
  <si>
    <t>Bahan pelatihan Pembuatan Roti dan Kue 140 JP</t>
  </si>
  <si>
    <t>Pagu Rp39.000.000 untuk pengadaan Barang menggunakan Pengadaan Langsung sudah sesuai (maksimal Rp200.000.000).</t>
  </si>
  <si>
    <t>67524495</t>
  </si>
  <si>
    <t>Pagu Rp35.000.000 untuk pengadaan Barang menggunakan Pengadaan Langsung sudah sesuai (maksimal Rp200.000.000).</t>
  </si>
  <si>
    <t>67524508</t>
  </si>
  <si>
    <t>67524570</t>
  </si>
  <si>
    <t>Pagu Rp204.000.000 untuk pengadaan Barang melebihi batas maksimal Pengadaan Langsung (Rp200.000.000).</t>
  </si>
  <si>
    <t>67524574</t>
  </si>
  <si>
    <t>Pagu Rp52.800.000 untuk pengadaan Barang menggunakan Pengadaan Langsung sudah sesuai (maksimal Rp200.000.000).</t>
  </si>
  <si>
    <t>67640537</t>
  </si>
  <si>
    <t>Metode Pengadaan Langsung sesuai untuk pengadaan Jasa Lainnya dengan pagu Rp32.320.000 (maksimal Rp200.000.000).</t>
  </si>
  <si>
    <t>PAKET BARU</t>
  </si>
  <si>
    <t>Kode RUP baru pada data 12 Agustus 2026.</t>
  </si>
  <si>
    <t>62660189;62660191</t>
  </si>
  <si>
    <t>Anomali/Tidak Diketahui</t>
  </si>
  <si>
    <t>Pemeliharaan Gedung/Bangunan Kantor Bertingkat (Jawa  Barat),Pemeliharaan Gedung/Bangunan Kantor Tidak Bertingkat (Jawa  Barat)</t>
  </si>
  <si>
    <t>Belum Dikurasi</t>
  </si>
  <si>
    <t>62822982;67354497</t>
  </si>
  <si>
    <t>Paket yang Mengalami Perubahan — BPVP Bandung Barat</t>
  </si>
  <si>
    <t>Laporan Ringkasan Pengadaan — BPVP Bandung Barat (5 Agustus 2026)</t>
  </si>
  <si>
    <t>Status</t>
  </si>
  <si>
    <t>Pagu (Rp)</t>
  </si>
  <si>
    <t>Realisasi (Rp)</t>
  </si>
  <si>
    <t>Realisasi (%)</t>
  </si>
  <si>
    <t>Status Kurasi AI</t>
  </si>
  <si>
    <t>Catatan Kurasi AI</t>
  </si>
  <si>
    <t>Rekomendasi Kurasi AI</t>
  </si>
  <si>
    <t>ATK tahap persiapan</t>
  </si>
  <si>
    <t>Bahan Pelatihan Project Based Learning</t>
  </si>
  <si>
    <t>Laporan Ringkasan Pengadaan — BPVP Bandung Barat (12 Agustus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</si>
</sst>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6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6"/>
      <color rgb="FFFFFFFF"/>
      <name val="Carlito"/>
    </font>
    <font>
      <i/>
      <sz val="11"/>
      <name val="Carlito"/>
    </font>
    <font>
      <sz val="11"/>
      <color rgb="FFFF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0" applyNumberFormat="1"/>
    <xf numFmtId="3" fontId="0" fillId="0" borderId="7" xfId="0" applyNumberFormat="1" applyBorder="1"/>
    <xf numFmtId="164" fontId="0" fillId="0" borderId="0" xfId="0" applyNumberFormat="1"/>
    <xf numFmtId="164" fontId="0" fillId="0" borderId="7" xfId="0" applyNumberFormat="1" applyBorder="1"/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8" xfId="0" applyBorder="1" applyAlignment="1">
      <alignment wrapText="1"/>
    </xf>
    <xf numFmtId="10" fontId="0" fillId="0" borderId="0" xfId="0" applyNumberFormat="1"/>
    <xf numFmtId="10" fontId="0" fillId="0" borderId="7" xfId="0" applyNumberFormat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3" fontId="0" fillId="0" borderId="5" xfId="0" applyNumberFormat="1" applyBorder="1"/>
    <xf numFmtId="10" fontId="0" fillId="0" borderId="8" xfId="0" applyNumberFormat="1" applyBorder="1"/>
    <xf numFmtId="0" fontId="3" fillId="2" borderId="0" xfId="0" applyFont="1" applyFill="1"/>
    <xf numFmtId="0" fontId="4" fillId="4" borderId="0" xfId="0" applyFont="1" applyFill="1"/>
    <xf numFmtId="0" fontId="2" fillId="3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5" fillId="0" borderId="4" xfId="0" applyFont="1" applyBorder="1"/>
    <xf numFmtId="0" fontId="5" fillId="0" borderId="0" xfId="0" applyFont="1"/>
    <xf numFmtId="0" fontId="5" fillId="0" borderId="0" xfId="0" applyFont="1" applyAlignment="1">
      <alignment wrapText="1"/>
    </xf>
    <xf numFmtId="3" fontId="5" fillId="0" borderId="0" xfId="0" applyNumberFormat="1" applyFont="1"/>
    <xf numFmtId="10" fontId="5" fillId="0" borderId="0" xfId="0" applyNumberFormat="1" applyFont="1"/>
    <xf numFmtId="0" fontId="5" fillId="0" borderId="5" xfId="0" applyFont="1" applyBorder="1" applyAlignment="1">
      <alignment wrapText="1"/>
    </xf>
    <xf numFmtId="0" fontId="5" fillId="0" borderId="6" xfId="0" applyFont="1" applyBorder="1"/>
    <xf numFmtId="0" fontId="5" fillId="0" borderId="7" xfId="0" applyFont="1" applyBorder="1"/>
    <xf numFmtId="0" fontId="5" fillId="0" borderId="7" xfId="0" applyFont="1" applyBorder="1" applyAlignment="1">
      <alignment wrapText="1"/>
    </xf>
    <xf numFmtId="3" fontId="5" fillId="0" borderId="7" xfId="0" applyNumberFormat="1" applyFont="1" applyBorder="1"/>
    <xf numFmtId="10" fontId="5" fillId="0" borderId="7" xfId="0" applyNumberFormat="1" applyFont="1" applyBorder="1"/>
    <xf numFmtId="0" fontId="5" fillId="0" borderId="8" xfId="0" applyFont="1" applyBorder="1" applyAlignment="1">
      <alignment wrapText="1"/>
    </xf>
  </cellXfs>
  <cellStyles count="1">
    <cellStyle name="Normal" xfId="0" builtinId="0"/>
  </cellStyles>
  <dxfs count="20"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DDEBF7"/>
        </patternFill>
      </fill>
    </dxf>
    <dxf>
      <fill>
        <patternFill patternType="solid">
          <bgColor rgb="FFE2F0D9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  <color rgb="FFC00000"/>
      </font>
    </dxf>
    <dxf>
      <font>
        <b/>
        <color rgb="FF008000"/>
      </font>
    </dxf>
    <dxf>
      <font>
        <b/>
        <color rgb="FFC00000"/>
      </font>
    </dxf>
    <dxf>
      <font>
        <b/>
        <color rgb="FF008000"/>
      </font>
    </dxf>
    <dxf>
      <font>
        <b/>
        <color rgb="FFC00000"/>
      </font>
    </dxf>
    <dxf>
      <font>
        <b/>
        <color rgb="FF008000"/>
      </font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DDEBF7"/>
        </patternFill>
      </fill>
    </dxf>
    <dxf>
      <fill>
        <patternFill patternType="solid">
          <bgColor rgb="FFE2F0D9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  <color rgb="FFC00000"/>
      </font>
    </dxf>
    <dxf>
      <font>
        <b/>
        <color rgb="FF008000"/>
      </font>
    </dxf>
    <dxf>
      <font>
        <b/>
        <color rgb="FFC00000"/>
      </font>
    </dxf>
    <dxf>
      <font>
        <b/>
        <color rgb="FF008000"/>
      </font>
    </dxf>
    <dxf>
      <font>
        <b/>
        <color rgb="FFC00000"/>
      </font>
    </dxf>
    <dxf>
      <font>
        <b/>
        <color rgb="FF00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Perbandingan Pagu dan Realisasi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5 Agustus 2026</c:v>
          </c:tx>
          <c:invertIfNegative val="1"/>
          <c:cat>
            <c:strRef>
              <c:f>Ringkasan!$F$26:$F$27</c:f>
              <c:strCache>
                <c:ptCount val="2"/>
                <c:pt idx="0">
                  <c:v>Total Pagu (Rp)</c:v>
                </c:pt>
                <c:pt idx="1">
                  <c:v>Total Realisasi (Rp)</c:v>
                </c:pt>
              </c:strCache>
            </c:strRef>
          </c:cat>
          <c:val>
            <c:numRef>
              <c:f>Ringkasan!$G$26:$G$27</c:f>
              <c:numCache>
                <c:formatCode>General</c:formatCode>
                <c:ptCount val="2"/>
                <c:pt idx="0">
                  <c:v>13631713000</c:v>
                </c:pt>
                <c:pt idx="1">
                  <c:v>3387279912.27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6-4F9C-A84D-399D19A1E2E6}"/>
            </c:ext>
          </c:extLst>
        </c:ser>
        <c:ser>
          <c:idx val="1"/>
          <c:order val="1"/>
          <c:tx>
            <c:v>12 Agustus 2026</c:v>
          </c:tx>
          <c:invertIfNegative val="1"/>
          <c:cat>
            <c:strRef>
              <c:f>Ringkasan!$F$26:$F$27</c:f>
              <c:strCache>
                <c:ptCount val="2"/>
                <c:pt idx="0">
                  <c:v>Total Pagu (Rp)</c:v>
                </c:pt>
                <c:pt idx="1">
                  <c:v>Total Realisasi (Rp)</c:v>
                </c:pt>
              </c:strCache>
            </c:strRef>
          </c:cat>
          <c:val>
            <c:numRef>
              <c:f>Ringkasan!$H$26:$H$27</c:f>
              <c:numCache>
                <c:formatCode>General</c:formatCode>
                <c:ptCount val="2"/>
                <c:pt idx="0">
                  <c:v>13098513000</c:v>
                </c:pt>
                <c:pt idx="1">
                  <c:v>2823468510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B6-4F9C-A84D-399D19A1E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workbookViewId="0">
      <selection sqref="A1:H1"/>
    </sheetView>
  </sheetViews>
  <sheetFormatPr defaultRowHeight="13.5"/>
  <cols>
    <col min="1" max="1" width="30" customWidth="1"/>
    <col min="2" max="4" width="20" customWidth="1"/>
    <col min="5" max="5" width="4" customWidth="1"/>
    <col min="6" max="8" width="20" customWidth="1"/>
  </cols>
  <sheetData>
    <row r="1" spans="1:8" ht="20.65">
      <c r="A1" s="24" t="s">
        <v>0</v>
      </c>
      <c r="B1" s="24"/>
      <c r="C1" s="24"/>
      <c r="D1" s="24"/>
      <c r="E1" s="24"/>
      <c r="F1" s="24"/>
      <c r="G1" s="24"/>
      <c r="H1" s="24"/>
    </row>
    <row r="2" spans="1:8" ht="13.9">
      <c r="A2" s="25" t="s">
        <v>1</v>
      </c>
      <c r="B2" s="25"/>
      <c r="C2" s="25"/>
      <c r="D2" s="25"/>
      <c r="E2" s="25"/>
      <c r="F2" s="25"/>
      <c r="G2" s="25"/>
      <c r="H2" s="25"/>
    </row>
    <row r="4" spans="1:8" ht="13.9">
      <c r="A4" s="19" t="s">
        <v>2</v>
      </c>
      <c r="B4" s="20" t="s">
        <v>3</v>
      </c>
      <c r="C4" s="20" t="s">
        <v>4</v>
      </c>
      <c r="D4" s="21" t="s">
        <v>5</v>
      </c>
    </row>
    <row r="5" spans="1:8">
      <c r="A5" s="4" t="s">
        <v>6</v>
      </c>
      <c r="B5">
        <v>261</v>
      </c>
      <c r="C5">
        <v>255</v>
      </c>
      <c r="D5" s="5">
        <f>C5-B5</f>
        <v>-6</v>
      </c>
    </row>
    <row r="6" spans="1:8">
      <c r="A6" s="4" t="s">
        <v>7</v>
      </c>
      <c r="B6" s="9">
        <v>13631713000</v>
      </c>
      <c r="C6" s="9">
        <v>13098513000</v>
      </c>
      <c r="D6" s="22">
        <f>C6-B6</f>
        <v>-533200000</v>
      </c>
    </row>
    <row r="7" spans="1:8">
      <c r="A7" s="4" t="s">
        <v>8</v>
      </c>
      <c r="B7" s="9">
        <v>3387279912.27</v>
      </c>
      <c r="C7" s="9">
        <v>2823468510</v>
      </c>
      <c r="D7" s="22">
        <f>C7-B7</f>
        <v>-563811402.26999998</v>
      </c>
    </row>
    <row r="8" spans="1:8">
      <c r="A8" s="6" t="s">
        <v>9</v>
      </c>
      <c r="B8" s="18">
        <f>IFERROR(B7/B6,0)</f>
        <v>0.24848527197352233</v>
      </c>
      <c r="C8" s="18">
        <f>IFERROR(C7/C6,0)</f>
        <v>0.21555641544960102</v>
      </c>
      <c r="D8" s="23">
        <f>C8-B8</f>
        <v>-3.2928856523921302E-2</v>
      </c>
    </row>
    <row r="10" spans="1:8" ht="13.9">
      <c r="A10" s="19" t="s">
        <v>10</v>
      </c>
      <c r="B10" s="21" t="s">
        <v>11</v>
      </c>
    </row>
    <row r="11" spans="1:8">
      <c r="A11" s="4" t="s">
        <v>12</v>
      </c>
      <c r="B11" s="5">
        <v>1</v>
      </c>
    </row>
    <row r="12" spans="1:8">
      <c r="A12" s="4" t="s">
        <v>13</v>
      </c>
      <c r="B12" s="5">
        <v>7</v>
      </c>
    </row>
    <row r="13" spans="1:8">
      <c r="A13" s="4" t="s">
        <v>14</v>
      </c>
      <c r="B13" s="5">
        <v>18</v>
      </c>
    </row>
    <row r="14" spans="1:8">
      <c r="A14" s="6" t="s">
        <v>15</v>
      </c>
      <c r="B14" s="8">
        <v>236</v>
      </c>
    </row>
    <row r="16" spans="1:8" ht="13.9">
      <c r="A16" s="26" t="s">
        <v>16</v>
      </c>
      <c r="B16" s="26"/>
      <c r="C16" s="26"/>
      <c r="D16" s="26"/>
      <c r="E16" s="26"/>
      <c r="F16" s="26"/>
      <c r="G16" s="26"/>
      <c r="H16" s="26"/>
    </row>
    <row r="17" spans="1:8">
      <c r="A17" s="27" t="s">
        <v>17</v>
      </c>
      <c r="B17" s="27"/>
      <c r="C17" s="27"/>
      <c r="D17" s="27"/>
      <c r="E17" s="27"/>
      <c r="F17" s="27"/>
      <c r="G17" s="27"/>
      <c r="H17" s="27"/>
    </row>
    <row r="18" spans="1:8">
      <c r="A18" s="27"/>
      <c r="B18" s="27"/>
      <c r="C18" s="27"/>
      <c r="D18" s="27"/>
      <c r="E18" s="27"/>
      <c r="F18" s="27"/>
      <c r="G18" s="27"/>
      <c r="H18" s="27"/>
    </row>
    <row r="19" spans="1:8">
      <c r="A19" s="27"/>
      <c r="B19" s="27"/>
      <c r="C19" s="27"/>
      <c r="D19" s="27"/>
      <c r="E19" s="27"/>
      <c r="F19" s="27"/>
      <c r="G19" s="27"/>
      <c r="H19" s="27"/>
    </row>
    <row r="20" spans="1:8">
      <c r="A20" s="27"/>
      <c r="B20" s="27"/>
      <c r="C20" s="27"/>
      <c r="D20" s="27"/>
      <c r="E20" s="27"/>
      <c r="F20" s="27"/>
      <c r="G20" s="27"/>
      <c r="H20" s="27"/>
    </row>
    <row r="21" spans="1:8">
      <c r="A21" s="27"/>
      <c r="B21" s="27"/>
      <c r="C21" s="27"/>
      <c r="D21" s="27"/>
      <c r="E21" s="27"/>
      <c r="F21" s="27"/>
      <c r="G21" s="27"/>
      <c r="H21" s="27"/>
    </row>
    <row r="22" spans="1:8">
      <c r="A22" s="27"/>
      <c r="B22" s="27"/>
      <c r="C22" s="27"/>
      <c r="D22" s="27"/>
      <c r="E22" s="27"/>
      <c r="F22" s="27"/>
      <c r="G22" s="27"/>
      <c r="H22" s="27"/>
    </row>
    <row r="23" spans="1:8">
      <c r="A23" s="27"/>
      <c r="B23" s="27"/>
      <c r="C23" s="27"/>
      <c r="D23" s="27"/>
      <c r="E23" s="27"/>
      <c r="F23" s="27"/>
      <c r="G23" s="27"/>
      <c r="H23" s="27"/>
    </row>
    <row r="25" spans="1:8">
      <c r="F25" t="s">
        <v>2</v>
      </c>
      <c r="G25" t="s">
        <v>3</v>
      </c>
      <c r="H25" t="s">
        <v>4</v>
      </c>
    </row>
    <row r="26" spans="1:8">
      <c r="F26" t="s">
        <v>7</v>
      </c>
      <c r="G26">
        <v>13631713000</v>
      </c>
      <c r="H26">
        <v>13098513000</v>
      </c>
    </row>
    <row r="27" spans="1:8">
      <c r="F27" t="s">
        <v>8</v>
      </c>
      <c r="G27">
        <v>3387279912.27</v>
      </c>
      <c r="H27">
        <v>2823468510</v>
      </c>
    </row>
  </sheetData>
  <mergeCells count="4">
    <mergeCell ref="A1:H1"/>
    <mergeCell ref="A2:H2"/>
    <mergeCell ref="A16:H16"/>
    <mergeCell ref="A17:H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65"/>
  <sheetViews>
    <sheetView workbookViewId="0"/>
  </sheetViews>
  <sheetFormatPr defaultRowHeight="13.5"/>
  <cols>
    <col min="1" max="1" width="18" customWidth="1"/>
    <col min="2" max="2" width="34" customWidth="1"/>
    <col min="3" max="3" width="20" customWidth="1"/>
    <col min="4" max="4" width="44" customWidth="1"/>
    <col min="5" max="5" width="18" customWidth="1"/>
    <col min="6" max="7" width="22" customWidth="1"/>
    <col min="8" max="9" width="18" customWidth="1"/>
    <col min="10" max="10" width="16" customWidth="1"/>
    <col min="11" max="12" width="20" customWidth="1"/>
    <col min="13" max="13" width="18" customWidth="1"/>
    <col min="14" max="16" width="16" customWidth="1"/>
    <col min="17" max="18" width="18" customWidth="1"/>
    <col min="19" max="22" width="42" customWidth="1"/>
    <col min="23" max="23" width="18" customWidth="1"/>
    <col min="24" max="24" width="70" customWidth="1"/>
  </cols>
  <sheetData>
    <row r="1" spans="1:24" ht="17.649999999999999">
      <c r="A1" s="28" t="s">
        <v>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3" spans="1:24" ht="13.9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 s="3" t="s">
        <v>42</v>
      </c>
    </row>
    <row r="4" spans="1:24">
      <c r="A4" s="4" t="s">
        <v>43</v>
      </c>
      <c r="B4" t="s">
        <v>44</v>
      </c>
      <c r="C4" t="s">
        <v>45</v>
      </c>
      <c r="D4" s="13" t="s">
        <v>46</v>
      </c>
      <c r="E4" t="s">
        <v>47</v>
      </c>
      <c r="F4" t="s">
        <v>48</v>
      </c>
      <c r="G4" t="s">
        <v>48</v>
      </c>
      <c r="H4" s="9">
        <v>3000000</v>
      </c>
      <c r="I4" s="9">
        <v>3000000</v>
      </c>
      <c r="J4" s="9">
        <f t="shared" ref="J4:J67" si="0">IF(OR(H4="",I4=""),"",I4-H4)</f>
        <v>0</v>
      </c>
      <c r="K4" s="9">
        <v>0</v>
      </c>
      <c r="L4" s="9">
        <v>0</v>
      </c>
      <c r="M4" s="9">
        <f t="shared" ref="M4:M67" si="1">IF(OR(K4="",L4=""),"",L4-K4)</f>
        <v>0</v>
      </c>
      <c r="N4" s="17">
        <v>0</v>
      </c>
      <c r="O4" s="17">
        <v>0</v>
      </c>
      <c r="P4" s="17">
        <f t="shared" ref="P4:P67" si="2">IF(OR(N4="",O4=""),"",O4-N4)</f>
        <v>0</v>
      </c>
      <c r="Q4" t="s">
        <v>49</v>
      </c>
      <c r="R4" t="s">
        <v>49</v>
      </c>
      <c r="S4" s="13" t="s">
        <v>50</v>
      </c>
      <c r="T4" s="13" t="s">
        <v>50</v>
      </c>
      <c r="U4" s="13" t="s">
        <v>51</v>
      </c>
      <c r="V4" s="13" t="s">
        <v>51</v>
      </c>
      <c r="W4" t="s">
        <v>52</v>
      </c>
      <c r="X4" s="15" t="s">
        <v>53</v>
      </c>
    </row>
    <row r="5" spans="1:24">
      <c r="A5" s="4" t="s">
        <v>54</v>
      </c>
      <c r="B5" t="s">
        <v>44</v>
      </c>
      <c r="C5" t="s">
        <v>45</v>
      </c>
      <c r="D5" s="13" t="s">
        <v>55</v>
      </c>
      <c r="E5" t="s">
        <v>56</v>
      </c>
      <c r="F5" t="s">
        <v>57</v>
      </c>
      <c r="G5" t="s">
        <v>57</v>
      </c>
      <c r="H5" s="9">
        <v>1239840000</v>
      </c>
      <c r="I5" s="9">
        <v>1239840000</v>
      </c>
      <c r="J5" s="9">
        <f t="shared" si="0"/>
        <v>0</v>
      </c>
      <c r="K5" s="9">
        <v>1239747264</v>
      </c>
      <c r="L5" s="9">
        <v>1239747264</v>
      </c>
      <c r="M5" s="9">
        <f t="shared" si="1"/>
        <v>0</v>
      </c>
      <c r="N5" s="17">
        <v>1</v>
      </c>
      <c r="O5" s="17">
        <v>1</v>
      </c>
      <c r="P5" s="17">
        <f t="shared" si="2"/>
        <v>0</v>
      </c>
      <c r="Q5" t="s">
        <v>49</v>
      </c>
      <c r="R5" t="s">
        <v>49</v>
      </c>
      <c r="S5" s="13" t="s">
        <v>50</v>
      </c>
      <c r="T5" s="13" t="s">
        <v>50</v>
      </c>
      <c r="U5" s="13" t="s">
        <v>51</v>
      </c>
      <c r="V5" s="13" t="s">
        <v>51</v>
      </c>
      <c r="W5" t="s">
        <v>52</v>
      </c>
      <c r="X5" s="15" t="s">
        <v>53</v>
      </c>
    </row>
    <row r="6" spans="1:24" ht="27">
      <c r="A6" s="4" t="s">
        <v>58</v>
      </c>
      <c r="B6" t="s">
        <v>44</v>
      </c>
      <c r="C6" t="s">
        <v>45</v>
      </c>
      <c r="D6" s="13" t="s">
        <v>59</v>
      </c>
      <c r="E6" t="s">
        <v>56</v>
      </c>
      <c r="F6" t="s">
        <v>57</v>
      </c>
      <c r="G6" t="s">
        <v>57</v>
      </c>
      <c r="H6" s="9">
        <v>708480000</v>
      </c>
      <c r="I6" s="9">
        <v>708480000</v>
      </c>
      <c r="J6" s="9">
        <f t="shared" si="0"/>
        <v>0</v>
      </c>
      <c r="K6" s="9">
        <v>708427008</v>
      </c>
      <c r="L6" s="9">
        <v>708427008</v>
      </c>
      <c r="M6" s="9">
        <f t="shared" si="1"/>
        <v>0</v>
      </c>
      <c r="N6" s="17">
        <v>1</v>
      </c>
      <c r="O6" s="17">
        <v>1</v>
      </c>
      <c r="P6" s="17">
        <f t="shared" si="2"/>
        <v>0</v>
      </c>
      <c r="Q6" t="s">
        <v>49</v>
      </c>
      <c r="R6" t="s">
        <v>49</v>
      </c>
      <c r="S6" s="13" t="s">
        <v>50</v>
      </c>
      <c r="T6" s="13" t="s">
        <v>50</v>
      </c>
      <c r="U6" s="13" t="s">
        <v>51</v>
      </c>
      <c r="V6" s="13" t="s">
        <v>51</v>
      </c>
      <c r="W6" t="s">
        <v>52</v>
      </c>
      <c r="X6" s="15" t="s">
        <v>53</v>
      </c>
    </row>
    <row r="7" spans="1:24" ht="54">
      <c r="A7" s="4" t="s">
        <v>60</v>
      </c>
      <c r="B7" t="s">
        <v>44</v>
      </c>
      <c r="C7" t="s">
        <v>45</v>
      </c>
      <c r="D7" s="13" t="s">
        <v>61</v>
      </c>
      <c r="E7" t="s">
        <v>56</v>
      </c>
      <c r="F7" t="s">
        <v>48</v>
      </c>
      <c r="G7" t="s">
        <v>57</v>
      </c>
      <c r="H7" s="9">
        <v>35700000</v>
      </c>
      <c r="I7" s="9">
        <v>35700000</v>
      </c>
      <c r="J7" s="9">
        <f t="shared" si="0"/>
        <v>0</v>
      </c>
      <c r="K7" s="9">
        <v>0</v>
      </c>
      <c r="L7" s="9">
        <v>34328304</v>
      </c>
      <c r="M7" s="9">
        <f t="shared" si="1"/>
        <v>34328304</v>
      </c>
      <c r="N7" s="17">
        <v>0</v>
      </c>
      <c r="O7" s="17">
        <v>0.96</v>
      </c>
      <c r="P7" s="17">
        <f t="shared" si="2"/>
        <v>0.96</v>
      </c>
      <c r="Q7" t="s">
        <v>49</v>
      </c>
      <c r="R7" t="s">
        <v>49</v>
      </c>
      <c r="S7" s="13" t="s">
        <v>62</v>
      </c>
      <c r="T7" s="13" t="s">
        <v>62</v>
      </c>
      <c r="U7" s="13" t="s">
        <v>63</v>
      </c>
      <c r="V7" s="13" t="s">
        <v>63</v>
      </c>
      <c r="W7" t="s">
        <v>64</v>
      </c>
      <c r="X7" s="15" t="s">
        <v>65</v>
      </c>
    </row>
    <row r="8" spans="1:24" ht="40.5">
      <c r="A8" s="4" t="s">
        <v>66</v>
      </c>
      <c r="B8" t="s">
        <v>44</v>
      </c>
      <c r="C8" t="s">
        <v>45</v>
      </c>
      <c r="D8" s="13" t="s">
        <v>67</v>
      </c>
      <c r="E8" t="s">
        <v>47</v>
      </c>
      <c r="F8" t="s">
        <v>48</v>
      </c>
      <c r="G8" t="s">
        <v>48</v>
      </c>
      <c r="H8" s="9">
        <v>35700000</v>
      </c>
      <c r="I8" s="9">
        <v>35700000</v>
      </c>
      <c r="J8" s="9">
        <f t="shared" si="0"/>
        <v>0</v>
      </c>
      <c r="K8" s="9">
        <v>0</v>
      </c>
      <c r="L8" s="9">
        <v>0</v>
      </c>
      <c r="M8" s="9">
        <f t="shared" si="1"/>
        <v>0</v>
      </c>
      <c r="N8" s="17">
        <v>0</v>
      </c>
      <c r="O8" s="17">
        <v>0</v>
      </c>
      <c r="P8" s="17">
        <f t="shared" si="2"/>
        <v>0</v>
      </c>
      <c r="Q8" t="s">
        <v>49</v>
      </c>
      <c r="R8" t="s">
        <v>49</v>
      </c>
      <c r="S8" s="13" t="s">
        <v>62</v>
      </c>
      <c r="T8" s="13" t="s">
        <v>62</v>
      </c>
      <c r="U8" s="13" t="s">
        <v>63</v>
      </c>
      <c r="V8" s="13" t="s">
        <v>63</v>
      </c>
      <c r="W8" t="s">
        <v>52</v>
      </c>
      <c r="X8" s="15" t="s">
        <v>53</v>
      </c>
    </row>
    <row r="9" spans="1:24" ht="40.5">
      <c r="A9" s="4" t="s">
        <v>68</v>
      </c>
      <c r="B9" t="s">
        <v>44</v>
      </c>
      <c r="C9" t="s">
        <v>45</v>
      </c>
      <c r="D9" s="13" t="s">
        <v>69</v>
      </c>
      <c r="E9" t="s">
        <v>47</v>
      </c>
      <c r="F9" t="s">
        <v>48</v>
      </c>
      <c r="G9" t="s">
        <v>48</v>
      </c>
      <c r="H9" s="9">
        <v>45900000</v>
      </c>
      <c r="I9" s="9">
        <v>45900000</v>
      </c>
      <c r="J9" s="9">
        <f t="shared" si="0"/>
        <v>0</v>
      </c>
      <c r="K9" s="9">
        <v>0</v>
      </c>
      <c r="L9" s="9">
        <v>0</v>
      </c>
      <c r="M9" s="9">
        <f t="shared" si="1"/>
        <v>0</v>
      </c>
      <c r="N9" s="17">
        <v>0</v>
      </c>
      <c r="O9" s="17">
        <v>0</v>
      </c>
      <c r="P9" s="17">
        <f t="shared" si="2"/>
        <v>0</v>
      </c>
      <c r="Q9" t="s">
        <v>49</v>
      </c>
      <c r="R9" t="s">
        <v>49</v>
      </c>
      <c r="S9" s="13" t="s">
        <v>70</v>
      </c>
      <c r="T9" s="13" t="s">
        <v>70</v>
      </c>
      <c r="U9" s="13" t="s">
        <v>63</v>
      </c>
      <c r="V9" s="13" t="s">
        <v>63</v>
      </c>
      <c r="W9" t="s">
        <v>52</v>
      </c>
      <c r="X9" s="15" t="s">
        <v>53</v>
      </c>
    </row>
    <row r="10" spans="1:24" ht="40.5">
      <c r="A10" s="4" t="s">
        <v>71</v>
      </c>
      <c r="B10" t="s">
        <v>44</v>
      </c>
      <c r="C10" t="s">
        <v>45</v>
      </c>
      <c r="D10" s="13" t="s">
        <v>72</v>
      </c>
      <c r="E10" t="s">
        <v>47</v>
      </c>
      <c r="F10" t="s">
        <v>48</v>
      </c>
      <c r="G10" t="s">
        <v>48</v>
      </c>
      <c r="H10" s="9">
        <v>20400000</v>
      </c>
      <c r="I10" s="9">
        <v>20400000</v>
      </c>
      <c r="J10" s="9">
        <f t="shared" si="0"/>
        <v>0</v>
      </c>
      <c r="K10" s="9">
        <v>0</v>
      </c>
      <c r="L10" s="9">
        <v>0</v>
      </c>
      <c r="M10" s="9">
        <f t="shared" si="1"/>
        <v>0</v>
      </c>
      <c r="N10" s="17">
        <v>0</v>
      </c>
      <c r="O10" s="17">
        <v>0</v>
      </c>
      <c r="P10" s="17">
        <f t="shared" si="2"/>
        <v>0</v>
      </c>
      <c r="Q10" t="s">
        <v>49</v>
      </c>
      <c r="R10" t="s">
        <v>49</v>
      </c>
      <c r="S10" s="13" t="s">
        <v>73</v>
      </c>
      <c r="T10" s="13" t="s">
        <v>73</v>
      </c>
      <c r="U10" s="13" t="s">
        <v>63</v>
      </c>
      <c r="V10" s="13" t="s">
        <v>63</v>
      </c>
      <c r="W10" t="s">
        <v>52</v>
      </c>
      <c r="X10" s="15" t="s">
        <v>53</v>
      </c>
    </row>
    <row r="11" spans="1:24" ht="40.5">
      <c r="A11" s="4" t="s">
        <v>74</v>
      </c>
      <c r="B11" t="s">
        <v>44</v>
      </c>
      <c r="C11" t="s">
        <v>45</v>
      </c>
      <c r="D11" s="13" t="s">
        <v>75</v>
      </c>
      <c r="E11" t="s">
        <v>47</v>
      </c>
      <c r="F11" t="s">
        <v>48</v>
      </c>
      <c r="G11" t="s">
        <v>48</v>
      </c>
      <c r="H11" s="9">
        <v>9000000</v>
      </c>
      <c r="I11" s="9">
        <v>9000000</v>
      </c>
      <c r="J11" s="9">
        <f t="shared" si="0"/>
        <v>0</v>
      </c>
      <c r="K11" s="9">
        <v>0</v>
      </c>
      <c r="L11" s="9">
        <v>0</v>
      </c>
      <c r="M11" s="9">
        <f t="shared" si="1"/>
        <v>0</v>
      </c>
      <c r="N11" s="17">
        <v>0</v>
      </c>
      <c r="O11" s="17">
        <v>0</v>
      </c>
      <c r="P11" s="17">
        <f t="shared" si="2"/>
        <v>0</v>
      </c>
      <c r="Q11" t="s">
        <v>49</v>
      </c>
      <c r="R11" t="s">
        <v>49</v>
      </c>
      <c r="S11" s="13" t="s">
        <v>76</v>
      </c>
      <c r="T11" s="13" t="s">
        <v>76</v>
      </c>
      <c r="U11" s="13" t="s">
        <v>63</v>
      </c>
      <c r="V11" s="13" t="s">
        <v>63</v>
      </c>
      <c r="W11" t="s">
        <v>52</v>
      </c>
      <c r="X11" s="15" t="s">
        <v>53</v>
      </c>
    </row>
    <row r="12" spans="1:24" ht="40.5">
      <c r="A12" s="4" t="s">
        <v>77</v>
      </c>
      <c r="B12" t="s">
        <v>44</v>
      </c>
      <c r="C12" t="s">
        <v>45</v>
      </c>
      <c r="D12" s="13" t="s">
        <v>78</v>
      </c>
      <c r="E12" t="s">
        <v>47</v>
      </c>
      <c r="F12" t="s">
        <v>48</v>
      </c>
      <c r="G12" t="s">
        <v>48</v>
      </c>
      <c r="H12" s="9">
        <v>9000000</v>
      </c>
      <c r="I12" s="9">
        <v>9000000</v>
      </c>
      <c r="J12" s="9">
        <f t="shared" si="0"/>
        <v>0</v>
      </c>
      <c r="K12" s="9">
        <v>0</v>
      </c>
      <c r="L12" s="9">
        <v>0</v>
      </c>
      <c r="M12" s="9">
        <f t="shared" si="1"/>
        <v>0</v>
      </c>
      <c r="N12" s="17">
        <v>0</v>
      </c>
      <c r="O12" s="17">
        <v>0</v>
      </c>
      <c r="P12" s="17">
        <f t="shared" si="2"/>
        <v>0</v>
      </c>
      <c r="Q12" t="s">
        <v>49</v>
      </c>
      <c r="R12" t="s">
        <v>49</v>
      </c>
      <c r="S12" s="13" t="s">
        <v>76</v>
      </c>
      <c r="T12" s="13" t="s">
        <v>76</v>
      </c>
      <c r="U12" s="13" t="s">
        <v>63</v>
      </c>
      <c r="V12" s="13" t="s">
        <v>63</v>
      </c>
      <c r="W12" t="s">
        <v>52</v>
      </c>
      <c r="X12" s="15" t="s">
        <v>53</v>
      </c>
    </row>
    <row r="13" spans="1:24" ht="40.5">
      <c r="A13" s="4" t="s">
        <v>79</v>
      </c>
      <c r="B13" t="s">
        <v>44</v>
      </c>
      <c r="C13" t="s">
        <v>45</v>
      </c>
      <c r="D13" s="13" t="s">
        <v>80</v>
      </c>
      <c r="E13" t="s">
        <v>47</v>
      </c>
      <c r="F13" t="s">
        <v>48</v>
      </c>
      <c r="G13" t="s">
        <v>48</v>
      </c>
      <c r="H13" s="9">
        <v>250000</v>
      </c>
      <c r="I13" s="9">
        <v>250000</v>
      </c>
      <c r="J13" s="9">
        <f t="shared" si="0"/>
        <v>0</v>
      </c>
      <c r="K13" s="9">
        <v>0</v>
      </c>
      <c r="L13" s="9">
        <v>0</v>
      </c>
      <c r="M13" s="9">
        <f t="shared" si="1"/>
        <v>0</v>
      </c>
      <c r="N13" s="17">
        <v>0</v>
      </c>
      <c r="O13" s="17">
        <v>0</v>
      </c>
      <c r="P13" s="17">
        <f t="shared" si="2"/>
        <v>0</v>
      </c>
      <c r="Q13" t="s">
        <v>49</v>
      </c>
      <c r="R13" t="s">
        <v>49</v>
      </c>
      <c r="S13" s="13" t="s">
        <v>81</v>
      </c>
      <c r="T13" s="13" t="s">
        <v>81</v>
      </c>
      <c r="U13" s="13" t="s">
        <v>63</v>
      </c>
      <c r="V13" s="13" t="s">
        <v>63</v>
      </c>
      <c r="W13" t="s">
        <v>52</v>
      </c>
      <c r="X13" s="15" t="s">
        <v>53</v>
      </c>
    </row>
    <row r="14" spans="1:24" ht="40.5">
      <c r="A14" s="4" t="s">
        <v>82</v>
      </c>
      <c r="B14" t="s">
        <v>44</v>
      </c>
      <c r="C14" t="s">
        <v>45</v>
      </c>
      <c r="D14" s="13" t="s">
        <v>83</v>
      </c>
      <c r="E14" t="s">
        <v>47</v>
      </c>
      <c r="F14" t="s">
        <v>48</v>
      </c>
      <c r="G14" t="s">
        <v>84</v>
      </c>
      <c r="H14" s="9">
        <v>15000000</v>
      </c>
      <c r="I14" s="9">
        <v>15000000</v>
      </c>
      <c r="J14" s="9">
        <f t="shared" si="0"/>
        <v>0</v>
      </c>
      <c r="K14" s="9">
        <v>0</v>
      </c>
      <c r="L14" s="9">
        <v>14719559</v>
      </c>
      <c r="M14" s="9">
        <f t="shared" si="1"/>
        <v>14719559</v>
      </c>
      <c r="N14" s="17">
        <v>0</v>
      </c>
      <c r="O14" s="17">
        <v>0.98</v>
      </c>
      <c r="P14" s="17">
        <f t="shared" si="2"/>
        <v>0.98</v>
      </c>
      <c r="Q14" t="s">
        <v>49</v>
      </c>
      <c r="R14" t="s">
        <v>49</v>
      </c>
      <c r="S14" s="13" t="s">
        <v>85</v>
      </c>
      <c r="T14" s="13" t="s">
        <v>85</v>
      </c>
      <c r="U14" s="13" t="s">
        <v>63</v>
      </c>
      <c r="V14" s="13" t="s">
        <v>63</v>
      </c>
      <c r="W14" t="s">
        <v>64</v>
      </c>
      <c r="X14" s="15" t="s">
        <v>86</v>
      </c>
    </row>
    <row r="15" spans="1:24" ht="40.5">
      <c r="A15" s="4" t="s">
        <v>87</v>
      </c>
      <c r="B15" t="s">
        <v>44</v>
      </c>
      <c r="C15" t="s">
        <v>45</v>
      </c>
      <c r="D15" s="13" t="s">
        <v>80</v>
      </c>
      <c r="E15" t="s">
        <v>47</v>
      </c>
      <c r="F15" t="s">
        <v>48</v>
      </c>
      <c r="G15" t="s">
        <v>48</v>
      </c>
      <c r="H15" s="9">
        <v>150000</v>
      </c>
      <c r="I15" s="9">
        <v>150000</v>
      </c>
      <c r="J15" s="9">
        <f t="shared" si="0"/>
        <v>0</v>
      </c>
      <c r="K15" s="9">
        <v>0</v>
      </c>
      <c r="L15" s="9">
        <v>0</v>
      </c>
      <c r="M15" s="9">
        <f t="shared" si="1"/>
        <v>0</v>
      </c>
      <c r="N15" s="17">
        <v>0</v>
      </c>
      <c r="O15" s="17">
        <v>0</v>
      </c>
      <c r="P15" s="17">
        <f t="shared" si="2"/>
        <v>0</v>
      </c>
      <c r="Q15" t="s">
        <v>49</v>
      </c>
      <c r="R15" t="s">
        <v>49</v>
      </c>
      <c r="S15" s="13" t="s">
        <v>88</v>
      </c>
      <c r="T15" s="13" t="s">
        <v>88</v>
      </c>
      <c r="U15" s="13" t="s">
        <v>63</v>
      </c>
      <c r="V15" s="13" t="s">
        <v>63</v>
      </c>
      <c r="W15" t="s">
        <v>52</v>
      </c>
      <c r="X15" s="15" t="s">
        <v>53</v>
      </c>
    </row>
    <row r="16" spans="1:24" ht="40.5">
      <c r="A16" s="4" t="s">
        <v>89</v>
      </c>
      <c r="B16" t="s">
        <v>44</v>
      </c>
      <c r="C16" t="s">
        <v>45</v>
      </c>
      <c r="D16" s="13" t="s">
        <v>80</v>
      </c>
      <c r="E16" t="s">
        <v>47</v>
      </c>
      <c r="F16" t="s">
        <v>48</v>
      </c>
      <c r="G16" t="s">
        <v>48</v>
      </c>
      <c r="H16" s="9">
        <v>500000</v>
      </c>
      <c r="I16" s="9">
        <v>500000</v>
      </c>
      <c r="J16" s="9">
        <f t="shared" si="0"/>
        <v>0</v>
      </c>
      <c r="K16" s="9">
        <v>0</v>
      </c>
      <c r="L16" s="9">
        <v>0</v>
      </c>
      <c r="M16" s="9">
        <f t="shared" si="1"/>
        <v>0</v>
      </c>
      <c r="N16" s="17">
        <v>0</v>
      </c>
      <c r="O16" s="17">
        <v>0</v>
      </c>
      <c r="P16" s="17">
        <f t="shared" si="2"/>
        <v>0</v>
      </c>
      <c r="Q16" t="s">
        <v>49</v>
      </c>
      <c r="R16" t="s">
        <v>49</v>
      </c>
      <c r="S16" s="13" t="s">
        <v>90</v>
      </c>
      <c r="T16" s="13" t="s">
        <v>90</v>
      </c>
      <c r="U16" s="13" t="s">
        <v>63</v>
      </c>
      <c r="V16" s="13" t="s">
        <v>63</v>
      </c>
      <c r="W16" t="s">
        <v>52</v>
      </c>
      <c r="X16" s="15" t="s">
        <v>53</v>
      </c>
    </row>
    <row r="17" spans="1:24" ht="40.5">
      <c r="A17" s="4" t="s">
        <v>91</v>
      </c>
      <c r="B17" t="s">
        <v>44</v>
      </c>
      <c r="C17" t="s">
        <v>45</v>
      </c>
      <c r="D17" s="13" t="s">
        <v>92</v>
      </c>
      <c r="E17" t="s">
        <v>47</v>
      </c>
      <c r="F17" t="s">
        <v>48</v>
      </c>
      <c r="H17" s="9">
        <v>12160000</v>
      </c>
      <c r="I17" s="9"/>
      <c r="J17" s="9" t="str">
        <f t="shared" si="0"/>
        <v/>
      </c>
      <c r="K17" s="9">
        <v>0</v>
      </c>
      <c r="L17" s="9"/>
      <c r="M17" s="9" t="str">
        <f t="shared" si="1"/>
        <v/>
      </c>
      <c r="N17" s="17">
        <v>0</v>
      </c>
      <c r="O17" s="17"/>
      <c r="P17" s="17" t="str">
        <f t="shared" si="2"/>
        <v/>
      </c>
      <c r="Q17" t="s">
        <v>49</v>
      </c>
      <c r="S17" s="13" t="s">
        <v>93</v>
      </c>
      <c r="T17" s="13"/>
      <c r="U17" s="13" t="s">
        <v>63</v>
      </c>
      <c r="V17" s="13"/>
      <c r="W17" t="s">
        <v>94</v>
      </c>
      <c r="X17" s="15" t="s">
        <v>95</v>
      </c>
    </row>
    <row r="18" spans="1:24" ht="40.5">
      <c r="A18" s="4" t="s">
        <v>96</v>
      </c>
      <c r="B18" t="s">
        <v>44</v>
      </c>
      <c r="C18" t="s">
        <v>45</v>
      </c>
      <c r="D18" s="13" t="s">
        <v>97</v>
      </c>
      <c r="E18" t="s">
        <v>47</v>
      </c>
      <c r="F18" t="s">
        <v>48</v>
      </c>
      <c r="H18" s="9">
        <v>26000000</v>
      </c>
      <c r="I18" s="9"/>
      <c r="J18" s="9" t="str">
        <f t="shared" si="0"/>
        <v/>
      </c>
      <c r="K18" s="9">
        <v>0</v>
      </c>
      <c r="L18" s="9"/>
      <c r="M18" s="9" t="str">
        <f t="shared" si="1"/>
        <v/>
      </c>
      <c r="N18" s="17">
        <v>0</v>
      </c>
      <c r="O18" s="17"/>
      <c r="P18" s="17" t="str">
        <f t="shared" si="2"/>
        <v/>
      </c>
      <c r="Q18" t="s">
        <v>49</v>
      </c>
      <c r="S18" s="13" t="s">
        <v>98</v>
      </c>
      <c r="T18" s="13"/>
      <c r="U18" s="13" t="s">
        <v>63</v>
      </c>
      <c r="V18" s="13"/>
      <c r="W18" t="s">
        <v>94</v>
      </c>
      <c r="X18" s="15" t="s">
        <v>95</v>
      </c>
    </row>
    <row r="19" spans="1:24" ht="40.5">
      <c r="A19" s="4" t="s">
        <v>99</v>
      </c>
      <c r="B19" t="s">
        <v>44</v>
      </c>
      <c r="C19" t="s">
        <v>45</v>
      </c>
      <c r="D19" s="13" t="s">
        <v>100</v>
      </c>
      <c r="E19" t="s">
        <v>47</v>
      </c>
      <c r="F19" t="s">
        <v>48</v>
      </c>
      <c r="G19" t="s">
        <v>48</v>
      </c>
      <c r="H19" s="9">
        <v>11200000</v>
      </c>
      <c r="I19" s="9">
        <v>11200000</v>
      </c>
      <c r="J19" s="9">
        <f t="shared" si="0"/>
        <v>0</v>
      </c>
      <c r="K19" s="9">
        <v>0</v>
      </c>
      <c r="L19" s="9">
        <v>0</v>
      </c>
      <c r="M19" s="9">
        <f t="shared" si="1"/>
        <v>0</v>
      </c>
      <c r="N19" s="17">
        <v>0</v>
      </c>
      <c r="O19" s="17">
        <v>0</v>
      </c>
      <c r="P19" s="17">
        <f t="shared" si="2"/>
        <v>0</v>
      </c>
      <c r="Q19" t="s">
        <v>49</v>
      </c>
      <c r="R19" t="s">
        <v>49</v>
      </c>
      <c r="S19" s="13" t="s">
        <v>101</v>
      </c>
      <c r="T19" s="13" t="s">
        <v>101</v>
      </c>
      <c r="U19" s="13" t="s">
        <v>63</v>
      </c>
      <c r="V19" s="13" t="s">
        <v>63</v>
      </c>
      <c r="W19" t="s">
        <v>52</v>
      </c>
      <c r="X19" s="15" t="s">
        <v>53</v>
      </c>
    </row>
    <row r="20" spans="1:24" ht="40.5">
      <c r="A20" s="4" t="s">
        <v>102</v>
      </c>
      <c r="B20" t="s">
        <v>44</v>
      </c>
      <c r="C20" t="s">
        <v>45</v>
      </c>
      <c r="D20" s="13" t="s">
        <v>92</v>
      </c>
      <c r="E20" t="s">
        <v>47</v>
      </c>
      <c r="F20" t="s">
        <v>48</v>
      </c>
      <c r="H20" s="9">
        <v>44800000</v>
      </c>
      <c r="I20" s="9"/>
      <c r="J20" s="9" t="str">
        <f t="shared" si="0"/>
        <v/>
      </c>
      <c r="K20" s="9">
        <v>0</v>
      </c>
      <c r="L20" s="9"/>
      <c r="M20" s="9" t="str">
        <f t="shared" si="1"/>
        <v/>
      </c>
      <c r="N20" s="17">
        <v>0</v>
      </c>
      <c r="O20" s="17"/>
      <c r="P20" s="17" t="str">
        <f t="shared" si="2"/>
        <v/>
      </c>
      <c r="Q20" t="s">
        <v>49</v>
      </c>
      <c r="S20" s="13" t="s">
        <v>103</v>
      </c>
      <c r="T20" s="13"/>
      <c r="U20" s="13" t="s">
        <v>63</v>
      </c>
      <c r="V20" s="13"/>
      <c r="W20" t="s">
        <v>94</v>
      </c>
      <c r="X20" s="15" t="s">
        <v>95</v>
      </c>
    </row>
    <row r="21" spans="1:24" ht="40.5">
      <c r="A21" s="4" t="s">
        <v>104</v>
      </c>
      <c r="B21" t="s">
        <v>44</v>
      </c>
      <c r="C21" t="s">
        <v>45</v>
      </c>
      <c r="D21" s="13" t="s">
        <v>105</v>
      </c>
      <c r="E21" t="s">
        <v>47</v>
      </c>
      <c r="F21" t="s">
        <v>48</v>
      </c>
      <c r="G21" t="s">
        <v>48</v>
      </c>
      <c r="H21" s="9">
        <v>1120000</v>
      </c>
      <c r="I21" s="9">
        <v>1120000</v>
      </c>
      <c r="J21" s="9">
        <f t="shared" si="0"/>
        <v>0</v>
      </c>
      <c r="K21" s="9">
        <v>0</v>
      </c>
      <c r="L21" s="9">
        <v>0</v>
      </c>
      <c r="M21" s="9">
        <f t="shared" si="1"/>
        <v>0</v>
      </c>
      <c r="N21" s="17">
        <v>0</v>
      </c>
      <c r="O21" s="17">
        <v>0</v>
      </c>
      <c r="P21" s="17">
        <f t="shared" si="2"/>
        <v>0</v>
      </c>
      <c r="Q21" t="s">
        <v>49</v>
      </c>
      <c r="R21" t="s">
        <v>49</v>
      </c>
      <c r="S21" s="13" t="s">
        <v>106</v>
      </c>
      <c r="T21" s="13" t="s">
        <v>106</v>
      </c>
      <c r="U21" s="13" t="s">
        <v>63</v>
      </c>
      <c r="V21" s="13" t="s">
        <v>63</v>
      </c>
      <c r="W21" t="s">
        <v>52</v>
      </c>
      <c r="X21" s="15" t="s">
        <v>53</v>
      </c>
    </row>
    <row r="22" spans="1:24" ht="40.5">
      <c r="A22" s="4" t="s">
        <v>107</v>
      </c>
      <c r="B22" t="s">
        <v>44</v>
      </c>
      <c r="C22" t="s">
        <v>45</v>
      </c>
      <c r="D22" s="13" t="s">
        <v>108</v>
      </c>
      <c r="E22" t="s">
        <v>47</v>
      </c>
      <c r="F22" t="s">
        <v>48</v>
      </c>
      <c r="G22" t="s">
        <v>48</v>
      </c>
      <c r="H22" s="9">
        <v>7000000</v>
      </c>
      <c r="I22" s="9">
        <v>7000000</v>
      </c>
      <c r="J22" s="9">
        <f t="shared" si="0"/>
        <v>0</v>
      </c>
      <c r="K22" s="9">
        <v>0</v>
      </c>
      <c r="L22" s="9">
        <v>0</v>
      </c>
      <c r="M22" s="9">
        <f t="shared" si="1"/>
        <v>0</v>
      </c>
      <c r="N22" s="17">
        <v>0</v>
      </c>
      <c r="O22" s="17">
        <v>0</v>
      </c>
      <c r="P22" s="17">
        <f t="shared" si="2"/>
        <v>0</v>
      </c>
      <c r="Q22" t="s">
        <v>49</v>
      </c>
      <c r="R22" t="s">
        <v>49</v>
      </c>
      <c r="S22" s="13" t="s">
        <v>109</v>
      </c>
      <c r="T22" s="13" t="s">
        <v>109</v>
      </c>
      <c r="U22" s="13" t="s">
        <v>63</v>
      </c>
      <c r="V22" s="13" t="s">
        <v>63</v>
      </c>
      <c r="W22" t="s">
        <v>52</v>
      </c>
      <c r="X22" s="15" t="s">
        <v>53</v>
      </c>
    </row>
    <row r="23" spans="1:24" ht="40.5">
      <c r="A23" s="4" t="s">
        <v>110</v>
      </c>
      <c r="B23" t="s">
        <v>44</v>
      </c>
      <c r="C23" t="s">
        <v>45</v>
      </c>
      <c r="D23" s="13" t="s">
        <v>80</v>
      </c>
      <c r="E23" t="s">
        <v>47</v>
      </c>
      <c r="F23" t="s">
        <v>48</v>
      </c>
      <c r="G23" t="s">
        <v>48</v>
      </c>
      <c r="H23" s="9">
        <v>1750000</v>
      </c>
      <c r="I23" s="9">
        <v>1750000</v>
      </c>
      <c r="J23" s="9">
        <f t="shared" si="0"/>
        <v>0</v>
      </c>
      <c r="K23" s="9">
        <v>0</v>
      </c>
      <c r="L23" s="9">
        <v>0</v>
      </c>
      <c r="M23" s="9">
        <f t="shared" si="1"/>
        <v>0</v>
      </c>
      <c r="N23" s="17">
        <v>0</v>
      </c>
      <c r="O23" s="17">
        <v>0</v>
      </c>
      <c r="P23" s="17">
        <f t="shared" si="2"/>
        <v>0</v>
      </c>
      <c r="Q23" t="s">
        <v>49</v>
      </c>
      <c r="R23" t="s">
        <v>49</v>
      </c>
      <c r="S23" s="13" t="s">
        <v>111</v>
      </c>
      <c r="T23" s="13" t="s">
        <v>111</v>
      </c>
      <c r="U23" s="13" t="s">
        <v>63</v>
      </c>
      <c r="V23" s="13" t="s">
        <v>63</v>
      </c>
      <c r="W23" t="s">
        <v>52</v>
      </c>
      <c r="X23" s="15" t="s">
        <v>53</v>
      </c>
    </row>
    <row r="24" spans="1:24" ht="40.5">
      <c r="A24" s="4" t="s">
        <v>112</v>
      </c>
      <c r="B24" t="s">
        <v>44</v>
      </c>
      <c r="C24" t="s">
        <v>45</v>
      </c>
      <c r="D24" s="13" t="s">
        <v>80</v>
      </c>
      <c r="E24" t="s">
        <v>47</v>
      </c>
      <c r="F24" t="s">
        <v>48</v>
      </c>
      <c r="G24" t="s">
        <v>48</v>
      </c>
      <c r="H24" s="9">
        <v>75000</v>
      </c>
      <c r="I24" s="9">
        <v>75000</v>
      </c>
      <c r="J24" s="9">
        <f t="shared" si="0"/>
        <v>0</v>
      </c>
      <c r="K24" s="9">
        <v>0</v>
      </c>
      <c r="L24" s="9">
        <v>0</v>
      </c>
      <c r="M24" s="9">
        <f t="shared" si="1"/>
        <v>0</v>
      </c>
      <c r="N24" s="17">
        <v>0</v>
      </c>
      <c r="O24" s="17">
        <v>0</v>
      </c>
      <c r="P24" s="17">
        <f t="shared" si="2"/>
        <v>0</v>
      </c>
      <c r="Q24" t="s">
        <v>49</v>
      </c>
      <c r="R24" t="s">
        <v>49</v>
      </c>
      <c r="S24" s="13" t="s">
        <v>113</v>
      </c>
      <c r="T24" s="13" t="s">
        <v>113</v>
      </c>
      <c r="U24" s="13" t="s">
        <v>63</v>
      </c>
      <c r="V24" s="13" t="s">
        <v>63</v>
      </c>
      <c r="W24" t="s">
        <v>52</v>
      </c>
      <c r="X24" s="15" t="s">
        <v>53</v>
      </c>
    </row>
    <row r="25" spans="1:24" ht="40.5">
      <c r="A25" s="4" t="s">
        <v>114</v>
      </c>
      <c r="B25" t="s">
        <v>44</v>
      </c>
      <c r="C25" t="s">
        <v>45</v>
      </c>
      <c r="D25" s="13" t="s">
        <v>115</v>
      </c>
      <c r="E25" t="s">
        <v>47</v>
      </c>
      <c r="F25" t="s">
        <v>48</v>
      </c>
      <c r="G25" t="s">
        <v>48</v>
      </c>
      <c r="H25" s="9">
        <v>18850000</v>
      </c>
      <c r="I25" s="9">
        <v>18850000</v>
      </c>
      <c r="J25" s="9">
        <f t="shared" si="0"/>
        <v>0</v>
      </c>
      <c r="K25" s="9">
        <v>0</v>
      </c>
      <c r="L25" s="9">
        <v>0</v>
      </c>
      <c r="M25" s="9">
        <f t="shared" si="1"/>
        <v>0</v>
      </c>
      <c r="N25" s="17">
        <v>0</v>
      </c>
      <c r="O25" s="17">
        <v>0</v>
      </c>
      <c r="P25" s="17">
        <f t="shared" si="2"/>
        <v>0</v>
      </c>
      <c r="Q25" t="s">
        <v>49</v>
      </c>
      <c r="R25" t="s">
        <v>49</v>
      </c>
      <c r="S25" s="13" t="s">
        <v>116</v>
      </c>
      <c r="T25" s="13" t="s">
        <v>116</v>
      </c>
      <c r="U25" s="13" t="s">
        <v>63</v>
      </c>
      <c r="V25" s="13" t="s">
        <v>63</v>
      </c>
      <c r="W25" t="s">
        <v>52</v>
      </c>
      <c r="X25" s="15" t="s">
        <v>53</v>
      </c>
    </row>
    <row r="26" spans="1:24" ht="40.5">
      <c r="A26" s="4" t="s">
        <v>117</v>
      </c>
      <c r="B26" t="s">
        <v>44</v>
      </c>
      <c r="C26" t="s">
        <v>45</v>
      </c>
      <c r="D26" s="13" t="s">
        <v>118</v>
      </c>
      <c r="E26" t="s">
        <v>47</v>
      </c>
      <c r="F26" t="s">
        <v>48</v>
      </c>
      <c r="G26" t="s">
        <v>48</v>
      </c>
      <c r="H26" s="9">
        <v>12000000</v>
      </c>
      <c r="I26" s="9">
        <v>12000000</v>
      </c>
      <c r="J26" s="9">
        <f t="shared" si="0"/>
        <v>0</v>
      </c>
      <c r="K26" s="9">
        <v>0</v>
      </c>
      <c r="L26" s="9">
        <v>0</v>
      </c>
      <c r="M26" s="9">
        <f t="shared" si="1"/>
        <v>0</v>
      </c>
      <c r="N26" s="17">
        <v>0</v>
      </c>
      <c r="O26" s="17">
        <v>0</v>
      </c>
      <c r="P26" s="17">
        <f t="shared" si="2"/>
        <v>0</v>
      </c>
      <c r="Q26" t="s">
        <v>49</v>
      </c>
      <c r="R26" t="s">
        <v>49</v>
      </c>
      <c r="S26" s="13" t="s">
        <v>119</v>
      </c>
      <c r="T26" s="13" t="s">
        <v>119</v>
      </c>
      <c r="U26" s="13" t="s">
        <v>63</v>
      </c>
      <c r="V26" s="13" t="s">
        <v>63</v>
      </c>
      <c r="W26" t="s">
        <v>52</v>
      </c>
      <c r="X26" s="15" t="s">
        <v>53</v>
      </c>
    </row>
    <row r="27" spans="1:24" ht="40.5">
      <c r="A27" s="4" t="s">
        <v>120</v>
      </c>
      <c r="B27" t="s">
        <v>44</v>
      </c>
      <c r="C27" t="s">
        <v>45</v>
      </c>
      <c r="D27" s="13" t="s">
        <v>75</v>
      </c>
      <c r="E27" t="s">
        <v>47</v>
      </c>
      <c r="F27" t="s">
        <v>48</v>
      </c>
      <c r="G27" t="s">
        <v>48</v>
      </c>
      <c r="H27" s="9">
        <v>1000000</v>
      </c>
      <c r="I27" s="9">
        <v>1000000</v>
      </c>
      <c r="J27" s="9">
        <f t="shared" si="0"/>
        <v>0</v>
      </c>
      <c r="K27" s="9">
        <v>0</v>
      </c>
      <c r="L27" s="9">
        <v>0</v>
      </c>
      <c r="M27" s="9">
        <f t="shared" si="1"/>
        <v>0</v>
      </c>
      <c r="N27" s="17">
        <v>0</v>
      </c>
      <c r="O27" s="17">
        <v>0</v>
      </c>
      <c r="P27" s="17">
        <f t="shared" si="2"/>
        <v>0</v>
      </c>
      <c r="Q27" t="s">
        <v>49</v>
      </c>
      <c r="R27" t="s">
        <v>49</v>
      </c>
      <c r="S27" s="13" t="s">
        <v>121</v>
      </c>
      <c r="T27" s="13" t="s">
        <v>121</v>
      </c>
      <c r="U27" s="13" t="s">
        <v>63</v>
      </c>
      <c r="V27" s="13" t="s">
        <v>63</v>
      </c>
      <c r="W27" t="s">
        <v>52</v>
      </c>
      <c r="X27" s="15" t="s">
        <v>53</v>
      </c>
    </row>
    <row r="28" spans="1:24" ht="40.5">
      <c r="A28" s="4" t="s">
        <v>122</v>
      </c>
      <c r="B28" t="s">
        <v>44</v>
      </c>
      <c r="C28" t="s">
        <v>45</v>
      </c>
      <c r="D28" s="13" t="s">
        <v>105</v>
      </c>
      <c r="E28" t="s">
        <v>47</v>
      </c>
      <c r="F28" t="s">
        <v>48</v>
      </c>
      <c r="G28" t="s">
        <v>48</v>
      </c>
      <c r="H28" s="9">
        <v>80000</v>
      </c>
      <c r="I28" s="9">
        <v>80000</v>
      </c>
      <c r="J28" s="9">
        <f t="shared" si="0"/>
        <v>0</v>
      </c>
      <c r="K28" s="9">
        <v>0</v>
      </c>
      <c r="L28" s="9">
        <v>0</v>
      </c>
      <c r="M28" s="9">
        <f t="shared" si="1"/>
        <v>0</v>
      </c>
      <c r="N28" s="17">
        <v>0</v>
      </c>
      <c r="O28" s="17">
        <v>0</v>
      </c>
      <c r="P28" s="17">
        <f t="shared" si="2"/>
        <v>0</v>
      </c>
      <c r="Q28" t="s">
        <v>49</v>
      </c>
      <c r="R28" t="s">
        <v>49</v>
      </c>
      <c r="S28" s="13" t="s">
        <v>123</v>
      </c>
      <c r="T28" s="13" t="s">
        <v>123</v>
      </c>
      <c r="U28" s="13" t="s">
        <v>63</v>
      </c>
      <c r="V28" s="13" t="s">
        <v>63</v>
      </c>
      <c r="W28" t="s">
        <v>52</v>
      </c>
      <c r="X28" s="15" t="s">
        <v>53</v>
      </c>
    </row>
    <row r="29" spans="1:24" ht="40.5">
      <c r="A29" s="4" t="s">
        <v>124</v>
      </c>
      <c r="B29" t="s">
        <v>44</v>
      </c>
      <c r="C29" t="s">
        <v>45</v>
      </c>
      <c r="D29" s="13" t="s">
        <v>125</v>
      </c>
      <c r="E29" t="s">
        <v>47</v>
      </c>
      <c r="F29" t="s">
        <v>48</v>
      </c>
      <c r="G29" t="s">
        <v>48</v>
      </c>
      <c r="H29" s="9">
        <v>2250000</v>
      </c>
      <c r="I29" s="9">
        <v>2250000</v>
      </c>
      <c r="J29" s="9">
        <f t="shared" si="0"/>
        <v>0</v>
      </c>
      <c r="K29" s="9">
        <v>0</v>
      </c>
      <c r="L29" s="9">
        <v>0</v>
      </c>
      <c r="M29" s="9">
        <f t="shared" si="1"/>
        <v>0</v>
      </c>
      <c r="N29" s="17">
        <v>0</v>
      </c>
      <c r="O29" s="17">
        <v>0</v>
      </c>
      <c r="P29" s="17">
        <f t="shared" si="2"/>
        <v>0</v>
      </c>
      <c r="Q29" t="s">
        <v>49</v>
      </c>
      <c r="R29" t="s">
        <v>49</v>
      </c>
      <c r="S29" s="13" t="s">
        <v>126</v>
      </c>
      <c r="T29" s="13" t="s">
        <v>126</v>
      </c>
      <c r="U29" s="13" t="s">
        <v>63</v>
      </c>
      <c r="V29" s="13" t="s">
        <v>63</v>
      </c>
      <c r="W29" t="s">
        <v>52</v>
      </c>
      <c r="X29" s="15" t="s">
        <v>53</v>
      </c>
    </row>
    <row r="30" spans="1:24" ht="40.5">
      <c r="A30" s="4" t="s">
        <v>127</v>
      </c>
      <c r="B30" t="s">
        <v>44</v>
      </c>
      <c r="C30" t="s">
        <v>45</v>
      </c>
      <c r="D30" s="13" t="s">
        <v>128</v>
      </c>
      <c r="E30" t="s">
        <v>47</v>
      </c>
      <c r="F30" t="s">
        <v>48</v>
      </c>
      <c r="G30" t="s">
        <v>48</v>
      </c>
      <c r="H30" s="9">
        <v>2250000</v>
      </c>
      <c r="I30" s="9">
        <v>2250000</v>
      </c>
      <c r="J30" s="9">
        <f t="shared" si="0"/>
        <v>0</v>
      </c>
      <c r="K30" s="9">
        <v>0</v>
      </c>
      <c r="L30" s="9">
        <v>0</v>
      </c>
      <c r="M30" s="9">
        <f t="shared" si="1"/>
        <v>0</v>
      </c>
      <c r="N30" s="17">
        <v>0</v>
      </c>
      <c r="O30" s="17">
        <v>0</v>
      </c>
      <c r="P30" s="17">
        <f t="shared" si="2"/>
        <v>0</v>
      </c>
      <c r="Q30" t="s">
        <v>49</v>
      </c>
      <c r="R30" t="s">
        <v>49</v>
      </c>
      <c r="S30" s="13" t="s">
        <v>126</v>
      </c>
      <c r="T30" s="13" t="s">
        <v>126</v>
      </c>
      <c r="U30" s="13" t="s">
        <v>63</v>
      </c>
      <c r="V30" s="13" t="s">
        <v>63</v>
      </c>
      <c r="W30" t="s">
        <v>52</v>
      </c>
      <c r="X30" s="15" t="s">
        <v>53</v>
      </c>
    </row>
    <row r="31" spans="1:24" ht="40.5">
      <c r="A31" s="4" t="s">
        <v>129</v>
      </c>
      <c r="B31" t="s">
        <v>44</v>
      </c>
      <c r="C31" t="s">
        <v>45</v>
      </c>
      <c r="D31" s="13" t="s">
        <v>130</v>
      </c>
      <c r="E31" t="s">
        <v>47</v>
      </c>
      <c r="F31" t="s">
        <v>48</v>
      </c>
      <c r="G31" t="s">
        <v>48</v>
      </c>
      <c r="H31" s="9">
        <v>840000</v>
      </c>
      <c r="I31" s="9">
        <v>840000</v>
      </c>
      <c r="J31" s="9">
        <f t="shared" si="0"/>
        <v>0</v>
      </c>
      <c r="K31" s="9">
        <v>0</v>
      </c>
      <c r="L31" s="9">
        <v>0</v>
      </c>
      <c r="M31" s="9">
        <f t="shared" si="1"/>
        <v>0</v>
      </c>
      <c r="N31" s="17">
        <v>0</v>
      </c>
      <c r="O31" s="17">
        <v>0</v>
      </c>
      <c r="P31" s="17">
        <f t="shared" si="2"/>
        <v>0</v>
      </c>
      <c r="Q31" t="s">
        <v>49</v>
      </c>
      <c r="R31" t="s">
        <v>49</v>
      </c>
      <c r="S31" s="13" t="s">
        <v>131</v>
      </c>
      <c r="T31" s="13" t="s">
        <v>131</v>
      </c>
      <c r="U31" s="13" t="s">
        <v>63</v>
      </c>
      <c r="V31" s="13" t="s">
        <v>63</v>
      </c>
      <c r="W31" t="s">
        <v>52</v>
      </c>
      <c r="X31" s="15" t="s">
        <v>53</v>
      </c>
    </row>
    <row r="32" spans="1:24" ht="40.5">
      <c r="A32" s="4" t="s">
        <v>132</v>
      </c>
      <c r="B32" t="s">
        <v>44</v>
      </c>
      <c r="C32" t="s">
        <v>45</v>
      </c>
      <c r="D32" s="13" t="s">
        <v>75</v>
      </c>
      <c r="E32" t="s">
        <v>47</v>
      </c>
      <c r="F32" t="s">
        <v>48</v>
      </c>
      <c r="G32" t="s">
        <v>48</v>
      </c>
      <c r="H32" s="9">
        <v>300000</v>
      </c>
      <c r="I32" s="9">
        <v>300000</v>
      </c>
      <c r="J32" s="9">
        <f t="shared" si="0"/>
        <v>0</v>
      </c>
      <c r="K32" s="9">
        <v>0</v>
      </c>
      <c r="L32" s="9">
        <v>0</v>
      </c>
      <c r="M32" s="9">
        <f t="shared" si="1"/>
        <v>0</v>
      </c>
      <c r="N32" s="17">
        <v>0</v>
      </c>
      <c r="O32" s="17">
        <v>0</v>
      </c>
      <c r="P32" s="17">
        <f t="shared" si="2"/>
        <v>0</v>
      </c>
      <c r="Q32" t="s">
        <v>49</v>
      </c>
      <c r="R32" t="s">
        <v>49</v>
      </c>
      <c r="S32" s="13" t="s">
        <v>133</v>
      </c>
      <c r="T32" s="13" t="s">
        <v>133</v>
      </c>
      <c r="U32" s="13" t="s">
        <v>63</v>
      </c>
      <c r="V32" s="13" t="s">
        <v>63</v>
      </c>
      <c r="W32" t="s">
        <v>52</v>
      </c>
      <c r="X32" s="15" t="s">
        <v>53</v>
      </c>
    </row>
    <row r="33" spans="1:24" ht="40.5">
      <c r="A33" s="4" t="s">
        <v>134</v>
      </c>
      <c r="B33" t="s">
        <v>44</v>
      </c>
      <c r="C33" t="s">
        <v>45</v>
      </c>
      <c r="D33" s="13" t="s">
        <v>135</v>
      </c>
      <c r="E33" t="s">
        <v>47</v>
      </c>
      <c r="F33" t="s">
        <v>48</v>
      </c>
      <c r="G33" t="s">
        <v>48</v>
      </c>
      <c r="H33" s="9">
        <v>300000</v>
      </c>
      <c r="I33" s="9">
        <v>300000</v>
      </c>
      <c r="J33" s="9">
        <f t="shared" si="0"/>
        <v>0</v>
      </c>
      <c r="K33" s="9">
        <v>0</v>
      </c>
      <c r="L33" s="9">
        <v>0</v>
      </c>
      <c r="M33" s="9">
        <f t="shared" si="1"/>
        <v>0</v>
      </c>
      <c r="N33" s="17">
        <v>0</v>
      </c>
      <c r="O33" s="17">
        <v>0</v>
      </c>
      <c r="P33" s="17">
        <f t="shared" si="2"/>
        <v>0</v>
      </c>
      <c r="Q33" t="s">
        <v>49</v>
      </c>
      <c r="R33" t="s">
        <v>49</v>
      </c>
      <c r="S33" s="13" t="s">
        <v>133</v>
      </c>
      <c r="T33" s="13" t="s">
        <v>133</v>
      </c>
      <c r="U33" s="13" t="s">
        <v>63</v>
      </c>
      <c r="V33" s="13" t="s">
        <v>63</v>
      </c>
      <c r="W33" t="s">
        <v>52</v>
      </c>
      <c r="X33" s="15" t="s">
        <v>53</v>
      </c>
    </row>
    <row r="34" spans="1:24" ht="40.5">
      <c r="A34" s="4" t="s">
        <v>136</v>
      </c>
      <c r="B34" t="s">
        <v>44</v>
      </c>
      <c r="C34" t="s">
        <v>45</v>
      </c>
      <c r="D34" s="13" t="s">
        <v>80</v>
      </c>
      <c r="E34" t="s">
        <v>47</v>
      </c>
      <c r="F34" t="s">
        <v>48</v>
      </c>
      <c r="G34" t="s">
        <v>48</v>
      </c>
      <c r="H34" s="9">
        <v>207000</v>
      </c>
      <c r="I34" s="9">
        <v>207000</v>
      </c>
      <c r="J34" s="9">
        <f t="shared" si="0"/>
        <v>0</v>
      </c>
      <c r="K34" s="9">
        <v>0</v>
      </c>
      <c r="L34" s="9">
        <v>0</v>
      </c>
      <c r="M34" s="9">
        <f t="shared" si="1"/>
        <v>0</v>
      </c>
      <c r="N34" s="17">
        <v>0</v>
      </c>
      <c r="O34" s="17">
        <v>0</v>
      </c>
      <c r="P34" s="17">
        <f t="shared" si="2"/>
        <v>0</v>
      </c>
      <c r="Q34" t="s">
        <v>49</v>
      </c>
      <c r="R34" t="s">
        <v>49</v>
      </c>
      <c r="S34" s="13" t="s">
        <v>137</v>
      </c>
      <c r="T34" s="13" t="s">
        <v>137</v>
      </c>
      <c r="U34" s="13" t="s">
        <v>63</v>
      </c>
      <c r="V34" s="13" t="s">
        <v>63</v>
      </c>
      <c r="W34" t="s">
        <v>52</v>
      </c>
      <c r="X34" s="15" t="s">
        <v>53</v>
      </c>
    </row>
    <row r="35" spans="1:24" ht="40.5">
      <c r="A35" s="4" t="s">
        <v>138</v>
      </c>
      <c r="B35" t="s">
        <v>44</v>
      </c>
      <c r="C35" t="s">
        <v>45</v>
      </c>
      <c r="D35" s="13" t="s">
        <v>78</v>
      </c>
      <c r="E35" t="s">
        <v>47</v>
      </c>
      <c r="F35" t="s">
        <v>48</v>
      </c>
      <c r="G35" t="s">
        <v>48</v>
      </c>
      <c r="H35" s="9">
        <v>300000</v>
      </c>
      <c r="I35" s="9">
        <v>300000</v>
      </c>
      <c r="J35" s="9">
        <f t="shared" si="0"/>
        <v>0</v>
      </c>
      <c r="K35" s="9">
        <v>0</v>
      </c>
      <c r="L35" s="9">
        <v>0</v>
      </c>
      <c r="M35" s="9">
        <f t="shared" si="1"/>
        <v>0</v>
      </c>
      <c r="N35" s="17">
        <v>0</v>
      </c>
      <c r="O35" s="17">
        <v>0</v>
      </c>
      <c r="P35" s="17">
        <f t="shared" si="2"/>
        <v>0</v>
      </c>
      <c r="Q35" t="s">
        <v>49</v>
      </c>
      <c r="R35" t="s">
        <v>49</v>
      </c>
      <c r="S35" s="13" t="s">
        <v>133</v>
      </c>
      <c r="T35" s="13" t="s">
        <v>133</v>
      </c>
      <c r="U35" s="13" t="s">
        <v>63</v>
      </c>
      <c r="V35" s="13" t="s">
        <v>63</v>
      </c>
      <c r="W35" t="s">
        <v>52</v>
      </c>
      <c r="X35" s="15" t="s">
        <v>53</v>
      </c>
    </row>
    <row r="36" spans="1:24" ht="40.5">
      <c r="A36" s="4" t="s">
        <v>139</v>
      </c>
      <c r="B36" t="s">
        <v>44</v>
      </c>
      <c r="C36" t="s">
        <v>45</v>
      </c>
      <c r="D36" s="13" t="s">
        <v>140</v>
      </c>
      <c r="E36" t="s">
        <v>47</v>
      </c>
      <c r="F36" t="s">
        <v>48</v>
      </c>
      <c r="G36" t="s">
        <v>48</v>
      </c>
      <c r="H36" s="9">
        <v>200000</v>
      </c>
      <c r="I36" s="9">
        <v>200000</v>
      </c>
      <c r="J36" s="9">
        <f t="shared" si="0"/>
        <v>0</v>
      </c>
      <c r="K36" s="9">
        <v>0</v>
      </c>
      <c r="L36" s="9">
        <v>0</v>
      </c>
      <c r="M36" s="9">
        <f t="shared" si="1"/>
        <v>0</v>
      </c>
      <c r="N36" s="17">
        <v>0</v>
      </c>
      <c r="O36" s="17">
        <v>0</v>
      </c>
      <c r="P36" s="17">
        <f t="shared" si="2"/>
        <v>0</v>
      </c>
      <c r="Q36" t="s">
        <v>49</v>
      </c>
      <c r="R36" t="s">
        <v>49</v>
      </c>
      <c r="S36" s="13" t="s">
        <v>141</v>
      </c>
      <c r="T36" s="13" t="s">
        <v>141</v>
      </c>
      <c r="U36" s="13" t="s">
        <v>63</v>
      </c>
      <c r="V36" s="13" t="s">
        <v>63</v>
      </c>
      <c r="W36" t="s">
        <v>52</v>
      </c>
      <c r="X36" s="15" t="s">
        <v>53</v>
      </c>
    </row>
    <row r="37" spans="1:24" ht="40.5">
      <c r="A37" s="4" t="s">
        <v>142</v>
      </c>
      <c r="B37" t="s">
        <v>44</v>
      </c>
      <c r="C37" t="s">
        <v>45</v>
      </c>
      <c r="D37" s="13" t="s">
        <v>143</v>
      </c>
      <c r="E37" t="s">
        <v>47</v>
      </c>
      <c r="F37" t="s">
        <v>48</v>
      </c>
      <c r="G37" t="s">
        <v>48</v>
      </c>
      <c r="H37" s="9">
        <v>1000000</v>
      </c>
      <c r="I37" s="9">
        <v>1000000</v>
      </c>
      <c r="J37" s="9">
        <f t="shared" si="0"/>
        <v>0</v>
      </c>
      <c r="K37" s="9">
        <v>0</v>
      </c>
      <c r="L37" s="9">
        <v>0</v>
      </c>
      <c r="M37" s="9">
        <f t="shared" si="1"/>
        <v>0</v>
      </c>
      <c r="N37" s="17">
        <v>0</v>
      </c>
      <c r="O37" s="17">
        <v>0</v>
      </c>
      <c r="P37" s="17">
        <f t="shared" si="2"/>
        <v>0</v>
      </c>
      <c r="Q37" t="s">
        <v>49</v>
      </c>
      <c r="R37" t="s">
        <v>49</v>
      </c>
      <c r="S37" s="13" t="s">
        <v>121</v>
      </c>
      <c r="T37" s="13" t="s">
        <v>121</v>
      </c>
      <c r="U37" s="13" t="s">
        <v>63</v>
      </c>
      <c r="V37" s="13" t="s">
        <v>63</v>
      </c>
      <c r="W37" t="s">
        <v>52</v>
      </c>
      <c r="X37" s="15" t="s">
        <v>53</v>
      </c>
    </row>
    <row r="38" spans="1:24" ht="40.5">
      <c r="A38" s="4" t="s">
        <v>144</v>
      </c>
      <c r="B38" t="s">
        <v>44</v>
      </c>
      <c r="C38" t="s">
        <v>45</v>
      </c>
      <c r="D38" s="13" t="s">
        <v>145</v>
      </c>
      <c r="E38" t="s">
        <v>47</v>
      </c>
      <c r="F38" t="s">
        <v>48</v>
      </c>
      <c r="G38" t="s">
        <v>48</v>
      </c>
      <c r="H38" s="9">
        <v>2250000</v>
      </c>
      <c r="I38" s="9">
        <v>2250000</v>
      </c>
      <c r="J38" s="9">
        <f t="shared" si="0"/>
        <v>0</v>
      </c>
      <c r="K38" s="9">
        <v>0</v>
      </c>
      <c r="L38" s="9">
        <v>0</v>
      </c>
      <c r="M38" s="9">
        <f t="shared" si="1"/>
        <v>0</v>
      </c>
      <c r="N38" s="17">
        <v>0</v>
      </c>
      <c r="O38" s="17">
        <v>0</v>
      </c>
      <c r="P38" s="17">
        <f t="shared" si="2"/>
        <v>0</v>
      </c>
      <c r="Q38" t="s">
        <v>49</v>
      </c>
      <c r="R38" t="s">
        <v>49</v>
      </c>
      <c r="S38" s="13" t="s">
        <v>126</v>
      </c>
      <c r="T38" s="13" t="s">
        <v>126</v>
      </c>
      <c r="U38" s="13" t="s">
        <v>63</v>
      </c>
      <c r="V38" s="13" t="s">
        <v>63</v>
      </c>
      <c r="W38" t="s">
        <v>52</v>
      </c>
      <c r="X38" s="15" t="s">
        <v>53</v>
      </c>
    </row>
    <row r="39" spans="1:24" ht="40.5">
      <c r="A39" s="4" t="s">
        <v>146</v>
      </c>
      <c r="B39" t="s">
        <v>44</v>
      </c>
      <c r="C39" t="s">
        <v>45</v>
      </c>
      <c r="D39" s="13" t="s">
        <v>147</v>
      </c>
      <c r="E39" t="s">
        <v>47</v>
      </c>
      <c r="F39" t="s">
        <v>48</v>
      </c>
      <c r="G39" t="s">
        <v>48</v>
      </c>
      <c r="H39" s="9">
        <v>2100000</v>
      </c>
      <c r="I39" s="9">
        <v>2100000</v>
      </c>
      <c r="J39" s="9">
        <f t="shared" si="0"/>
        <v>0</v>
      </c>
      <c r="K39" s="9">
        <v>0</v>
      </c>
      <c r="L39" s="9">
        <v>0</v>
      </c>
      <c r="M39" s="9">
        <f t="shared" si="1"/>
        <v>0</v>
      </c>
      <c r="N39" s="17">
        <v>0</v>
      </c>
      <c r="O39" s="17">
        <v>0</v>
      </c>
      <c r="P39" s="17">
        <f t="shared" si="2"/>
        <v>0</v>
      </c>
      <c r="Q39" t="s">
        <v>49</v>
      </c>
      <c r="R39" t="s">
        <v>49</v>
      </c>
      <c r="S39" s="13" t="s">
        <v>148</v>
      </c>
      <c r="T39" s="13" t="s">
        <v>148</v>
      </c>
      <c r="U39" s="13" t="s">
        <v>63</v>
      </c>
      <c r="V39" s="13" t="s">
        <v>63</v>
      </c>
      <c r="W39" t="s">
        <v>52</v>
      </c>
      <c r="X39" s="15" t="s">
        <v>53</v>
      </c>
    </row>
    <row r="40" spans="1:24" ht="40.5">
      <c r="A40" s="4" t="s">
        <v>149</v>
      </c>
      <c r="B40" t="s">
        <v>44</v>
      </c>
      <c r="C40" t="s">
        <v>45</v>
      </c>
      <c r="D40" s="13" t="s">
        <v>75</v>
      </c>
      <c r="E40" t="s">
        <v>47</v>
      </c>
      <c r="F40" t="s">
        <v>48</v>
      </c>
      <c r="G40" t="s">
        <v>48</v>
      </c>
      <c r="H40" s="9">
        <v>375000</v>
      </c>
      <c r="I40" s="9">
        <v>375000</v>
      </c>
      <c r="J40" s="9">
        <f t="shared" si="0"/>
        <v>0</v>
      </c>
      <c r="K40" s="9">
        <v>0</v>
      </c>
      <c r="L40" s="9">
        <v>0</v>
      </c>
      <c r="M40" s="9">
        <f t="shared" si="1"/>
        <v>0</v>
      </c>
      <c r="N40" s="17">
        <v>0</v>
      </c>
      <c r="O40" s="17">
        <v>0</v>
      </c>
      <c r="P40" s="17">
        <f t="shared" si="2"/>
        <v>0</v>
      </c>
      <c r="Q40" t="s">
        <v>49</v>
      </c>
      <c r="R40" t="s">
        <v>49</v>
      </c>
      <c r="S40" s="13" t="s">
        <v>150</v>
      </c>
      <c r="T40" s="13" t="s">
        <v>150</v>
      </c>
      <c r="U40" s="13" t="s">
        <v>63</v>
      </c>
      <c r="V40" s="13" t="s">
        <v>63</v>
      </c>
      <c r="W40" t="s">
        <v>52</v>
      </c>
      <c r="X40" s="15" t="s">
        <v>53</v>
      </c>
    </row>
    <row r="41" spans="1:24" ht="40.5">
      <c r="A41" s="4" t="s">
        <v>151</v>
      </c>
      <c r="B41" t="s">
        <v>44</v>
      </c>
      <c r="C41" t="s">
        <v>45</v>
      </c>
      <c r="D41" s="13" t="s">
        <v>147</v>
      </c>
      <c r="E41" t="s">
        <v>47</v>
      </c>
      <c r="F41" t="s">
        <v>48</v>
      </c>
      <c r="G41" t="s">
        <v>48</v>
      </c>
      <c r="H41" s="9">
        <v>371000</v>
      </c>
      <c r="I41" s="9">
        <v>371000</v>
      </c>
      <c r="J41" s="9">
        <f t="shared" si="0"/>
        <v>0</v>
      </c>
      <c r="K41" s="9">
        <v>0</v>
      </c>
      <c r="L41" s="9">
        <v>0</v>
      </c>
      <c r="M41" s="9">
        <f t="shared" si="1"/>
        <v>0</v>
      </c>
      <c r="N41" s="17">
        <v>0</v>
      </c>
      <c r="O41" s="17">
        <v>0</v>
      </c>
      <c r="P41" s="17">
        <f t="shared" si="2"/>
        <v>0</v>
      </c>
      <c r="Q41" t="s">
        <v>49</v>
      </c>
      <c r="R41" t="s">
        <v>49</v>
      </c>
      <c r="S41" s="13" t="s">
        <v>152</v>
      </c>
      <c r="T41" s="13" t="s">
        <v>152</v>
      </c>
      <c r="U41" s="13" t="s">
        <v>63</v>
      </c>
      <c r="V41" s="13" t="s">
        <v>63</v>
      </c>
      <c r="W41" t="s">
        <v>52</v>
      </c>
      <c r="X41" s="15" t="s">
        <v>53</v>
      </c>
    </row>
    <row r="42" spans="1:24" ht="40.5">
      <c r="A42" s="4" t="s">
        <v>153</v>
      </c>
      <c r="B42" t="s">
        <v>44</v>
      </c>
      <c r="C42" t="s">
        <v>45</v>
      </c>
      <c r="D42" s="13" t="s">
        <v>80</v>
      </c>
      <c r="E42" t="s">
        <v>47</v>
      </c>
      <c r="F42" t="s">
        <v>48</v>
      </c>
      <c r="G42" t="s">
        <v>48</v>
      </c>
      <c r="H42" s="9">
        <v>110000</v>
      </c>
      <c r="I42" s="9">
        <v>110000</v>
      </c>
      <c r="J42" s="9">
        <f t="shared" si="0"/>
        <v>0</v>
      </c>
      <c r="K42" s="9">
        <v>0</v>
      </c>
      <c r="L42" s="9">
        <v>0</v>
      </c>
      <c r="M42" s="9">
        <f t="shared" si="1"/>
        <v>0</v>
      </c>
      <c r="N42" s="17">
        <v>0</v>
      </c>
      <c r="O42" s="17">
        <v>0</v>
      </c>
      <c r="P42" s="17">
        <f t="shared" si="2"/>
        <v>0</v>
      </c>
      <c r="Q42" t="s">
        <v>49</v>
      </c>
      <c r="R42" t="s">
        <v>49</v>
      </c>
      <c r="S42" s="13" t="s">
        <v>154</v>
      </c>
      <c r="T42" s="13" t="s">
        <v>154</v>
      </c>
      <c r="U42" s="13" t="s">
        <v>63</v>
      </c>
      <c r="V42" s="13" t="s">
        <v>63</v>
      </c>
      <c r="W42" t="s">
        <v>52</v>
      </c>
      <c r="X42" s="15" t="s">
        <v>53</v>
      </c>
    </row>
    <row r="43" spans="1:24" ht="40.5">
      <c r="A43" s="4" t="s">
        <v>155</v>
      </c>
      <c r="B43" t="s">
        <v>44</v>
      </c>
      <c r="C43" t="s">
        <v>45</v>
      </c>
      <c r="D43" s="13" t="s">
        <v>130</v>
      </c>
      <c r="E43" t="s">
        <v>47</v>
      </c>
      <c r="F43" t="s">
        <v>48</v>
      </c>
      <c r="G43" t="s">
        <v>48</v>
      </c>
      <c r="H43" s="9">
        <v>154000</v>
      </c>
      <c r="I43" s="9">
        <v>154000</v>
      </c>
      <c r="J43" s="9">
        <f t="shared" si="0"/>
        <v>0</v>
      </c>
      <c r="K43" s="9">
        <v>0</v>
      </c>
      <c r="L43" s="9">
        <v>0</v>
      </c>
      <c r="M43" s="9">
        <f t="shared" si="1"/>
        <v>0</v>
      </c>
      <c r="N43" s="17">
        <v>0</v>
      </c>
      <c r="O43" s="17">
        <v>0</v>
      </c>
      <c r="P43" s="17">
        <f t="shared" si="2"/>
        <v>0</v>
      </c>
      <c r="Q43" t="s">
        <v>49</v>
      </c>
      <c r="R43" t="s">
        <v>49</v>
      </c>
      <c r="S43" s="13" t="s">
        <v>156</v>
      </c>
      <c r="T43" s="13" t="s">
        <v>156</v>
      </c>
      <c r="U43" s="13" t="s">
        <v>63</v>
      </c>
      <c r="V43" s="13" t="s">
        <v>63</v>
      </c>
      <c r="W43" t="s">
        <v>52</v>
      </c>
      <c r="X43" s="15" t="s">
        <v>53</v>
      </c>
    </row>
    <row r="44" spans="1:24" ht="40.5">
      <c r="A44" s="4" t="s">
        <v>157</v>
      </c>
      <c r="B44" t="s">
        <v>44</v>
      </c>
      <c r="C44" t="s">
        <v>45</v>
      </c>
      <c r="D44" s="13" t="s">
        <v>78</v>
      </c>
      <c r="E44" t="s">
        <v>47</v>
      </c>
      <c r="F44" t="s">
        <v>48</v>
      </c>
      <c r="G44" t="s">
        <v>48</v>
      </c>
      <c r="H44" s="9">
        <v>375000</v>
      </c>
      <c r="I44" s="9">
        <v>375000</v>
      </c>
      <c r="J44" s="9">
        <f t="shared" si="0"/>
        <v>0</v>
      </c>
      <c r="K44" s="9">
        <v>0</v>
      </c>
      <c r="L44" s="9">
        <v>0</v>
      </c>
      <c r="M44" s="9">
        <f t="shared" si="1"/>
        <v>0</v>
      </c>
      <c r="N44" s="17">
        <v>0</v>
      </c>
      <c r="O44" s="17">
        <v>0</v>
      </c>
      <c r="P44" s="17">
        <f t="shared" si="2"/>
        <v>0</v>
      </c>
      <c r="Q44" t="s">
        <v>49</v>
      </c>
      <c r="R44" t="s">
        <v>49</v>
      </c>
      <c r="S44" s="13" t="s">
        <v>150</v>
      </c>
      <c r="T44" s="13" t="s">
        <v>150</v>
      </c>
      <c r="U44" s="13" t="s">
        <v>63</v>
      </c>
      <c r="V44" s="13" t="s">
        <v>63</v>
      </c>
      <c r="W44" t="s">
        <v>52</v>
      </c>
      <c r="X44" s="15" t="s">
        <v>53</v>
      </c>
    </row>
    <row r="45" spans="1:24" ht="40.5">
      <c r="A45" s="4" t="s">
        <v>158</v>
      </c>
      <c r="B45" t="s">
        <v>44</v>
      </c>
      <c r="C45" t="s">
        <v>45</v>
      </c>
      <c r="D45" s="13" t="s">
        <v>159</v>
      </c>
      <c r="E45" t="s">
        <v>47</v>
      </c>
      <c r="F45" t="s">
        <v>48</v>
      </c>
      <c r="G45" t="s">
        <v>48</v>
      </c>
      <c r="H45" s="9">
        <v>125000</v>
      </c>
      <c r="I45" s="9">
        <v>125000</v>
      </c>
      <c r="J45" s="9">
        <f t="shared" si="0"/>
        <v>0</v>
      </c>
      <c r="K45" s="9">
        <v>0</v>
      </c>
      <c r="L45" s="9">
        <v>0</v>
      </c>
      <c r="M45" s="9">
        <f t="shared" si="1"/>
        <v>0</v>
      </c>
      <c r="N45" s="17">
        <v>0</v>
      </c>
      <c r="O45" s="17">
        <v>0</v>
      </c>
      <c r="P45" s="17">
        <f t="shared" si="2"/>
        <v>0</v>
      </c>
      <c r="Q45" t="s">
        <v>49</v>
      </c>
      <c r="R45" t="s">
        <v>49</v>
      </c>
      <c r="S45" s="13" t="s">
        <v>160</v>
      </c>
      <c r="T45" s="13" t="s">
        <v>160</v>
      </c>
      <c r="U45" s="13" t="s">
        <v>63</v>
      </c>
      <c r="V45" s="13" t="s">
        <v>63</v>
      </c>
      <c r="W45" t="s">
        <v>52</v>
      </c>
      <c r="X45" s="15" t="s">
        <v>53</v>
      </c>
    </row>
    <row r="46" spans="1:24" ht="40.5">
      <c r="A46" s="4" t="s">
        <v>161</v>
      </c>
      <c r="B46" t="s">
        <v>44</v>
      </c>
      <c r="C46" t="s">
        <v>45</v>
      </c>
      <c r="D46" s="13" t="s">
        <v>162</v>
      </c>
      <c r="E46" t="s">
        <v>47</v>
      </c>
      <c r="F46" t="s">
        <v>48</v>
      </c>
      <c r="G46" t="s">
        <v>48</v>
      </c>
      <c r="H46" s="9">
        <v>750000</v>
      </c>
      <c r="I46" s="9">
        <v>750000</v>
      </c>
      <c r="J46" s="9">
        <f t="shared" si="0"/>
        <v>0</v>
      </c>
      <c r="K46" s="9">
        <v>0</v>
      </c>
      <c r="L46" s="9">
        <v>0</v>
      </c>
      <c r="M46" s="9">
        <f t="shared" si="1"/>
        <v>0</v>
      </c>
      <c r="N46" s="17">
        <v>0</v>
      </c>
      <c r="O46" s="17">
        <v>0</v>
      </c>
      <c r="P46" s="17">
        <f t="shared" si="2"/>
        <v>0</v>
      </c>
      <c r="Q46" t="s">
        <v>49</v>
      </c>
      <c r="R46" t="s">
        <v>49</v>
      </c>
      <c r="S46" s="13" t="s">
        <v>163</v>
      </c>
      <c r="T46" s="13" t="s">
        <v>163</v>
      </c>
      <c r="U46" s="13" t="s">
        <v>63</v>
      </c>
      <c r="V46" s="13" t="s">
        <v>63</v>
      </c>
      <c r="W46" t="s">
        <v>52</v>
      </c>
      <c r="X46" s="15" t="s">
        <v>53</v>
      </c>
    </row>
    <row r="47" spans="1:24" ht="40.5">
      <c r="A47" s="4" t="s">
        <v>164</v>
      </c>
      <c r="B47" t="s">
        <v>44</v>
      </c>
      <c r="C47" t="s">
        <v>45</v>
      </c>
      <c r="D47" s="13" t="s">
        <v>92</v>
      </c>
      <c r="E47" t="s">
        <v>47</v>
      </c>
      <c r="F47" t="s">
        <v>48</v>
      </c>
      <c r="G47" t="s">
        <v>48</v>
      </c>
      <c r="H47" s="9">
        <v>13580000</v>
      </c>
      <c r="I47" s="9">
        <v>13580000</v>
      </c>
      <c r="J47" s="9">
        <f t="shared" si="0"/>
        <v>0</v>
      </c>
      <c r="K47" s="9">
        <v>0</v>
      </c>
      <c r="L47" s="9">
        <v>0</v>
      </c>
      <c r="M47" s="9">
        <f t="shared" si="1"/>
        <v>0</v>
      </c>
      <c r="N47" s="17">
        <v>0</v>
      </c>
      <c r="O47" s="17">
        <v>0</v>
      </c>
      <c r="P47" s="17">
        <f t="shared" si="2"/>
        <v>0</v>
      </c>
      <c r="Q47" t="s">
        <v>49</v>
      </c>
      <c r="R47" t="s">
        <v>49</v>
      </c>
      <c r="S47" s="13" t="s">
        <v>165</v>
      </c>
      <c r="T47" s="13" t="s">
        <v>165</v>
      </c>
      <c r="U47" s="13" t="s">
        <v>63</v>
      </c>
      <c r="V47" s="13" t="s">
        <v>63</v>
      </c>
      <c r="W47" t="s">
        <v>52</v>
      </c>
      <c r="X47" s="15" t="s">
        <v>53</v>
      </c>
    </row>
    <row r="48" spans="1:24" ht="40.5">
      <c r="A48" s="4" t="s">
        <v>166</v>
      </c>
      <c r="B48" t="s">
        <v>44</v>
      </c>
      <c r="C48" t="s">
        <v>45</v>
      </c>
      <c r="D48" s="13" t="s">
        <v>115</v>
      </c>
      <c r="E48" t="s">
        <v>47</v>
      </c>
      <c r="F48" t="s">
        <v>48</v>
      </c>
      <c r="G48" t="s">
        <v>48</v>
      </c>
      <c r="H48" s="9">
        <v>2000000</v>
      </c>
      <c r="I48" s="9">
        <v>2000000</v>
      </c>
      <c r="J48" s="9">
        <f t="shared" si="0"/>
        <v>0</v>
      </c>
      <c r="K48" s="9">
        <v>0</v>
      </c>
      <c r="L48" s="9">
        <v>0</v>
      </c>
      <c r="M48" s="9">
        <f t="shared" si="1"/>
        <v>0</v>
      </c>
      <c r="N48" s="17">
        <v>0</v>
      </c>
      <c r="O48" s="17">
        <v>0</v>
      </c>
      <c r="P48" s="17">
        <f t="shared" si="2"/>
        <v>0</v>
      </c>
      <c r="Q48" t="s">
        <v>49</v>
      </c>
      <c r="R48" t="s">
        <v>49</v>
      </c>
      <c r="S48" s="13" t="s">
        <v>167</v>
      </c>
      <c r="T48" s="13" t="s">
        <v>167</v>
      </c>
      <c r="U48" s="13" t="s">
        <v>63</v>
      </c>
      <c r="V48" s="13" t="s">
        <v>63</v>
      </c>
      <c r="W48" t="s">
        <v>52</v>
      </c>
      <c r="X48" s="15" t="s">
        <v>53</v>
      </c>
    </row>
    <row r="49" spans="1:24" ht="40.5">
      <c r="A49" s="4" t="s">
        <v>168</v>
      </c>
      <c r="B49" t="s">
        <v>44</v>
      </c>
      <c r="C49" t="s">
        <v>45</v>
      </c>
      <c r="D49" s="13" t="s">
        <v>92</v>
      </c>
      <c r="E49" t="s">
        <v>47</v>
      </c>
      <c r="F49" t="s">
        <v>48</v>
      </c>
      <c r="G49" t="s">
        <v>48</v>
      </c>
      <c r="H49" s="9">
        <v>13580000</v>
      </c>
      <c r="I49" s="9">
        <v>13580000</v>
      </c>
      <c r="J49" s="9">
        <f t="shared" si="0"/>
        <v>0</v>
      </c>
      <c r="K49" s="9">
        <v>0</v>
      </c>
      <c r="L49" s="9">
        <v>0</v>
      </c>
      <c r="M49" s="9">
        <f t="shared" si="1"/>
        <v>0</v>
      </c>
      <c r="N49" s="17">
        <v>0</v>
      </c>
      <c r="O49" s="17">
        <v>0</v>
      </c>
      <c r="P49" s="17">
        <f t="shared" si="2"/>
        <v>0</v>
      </c>
      <c r="Q49" t="s">
        <v>49</v>
      </c>
      <c r="R49" t="s">
        <v>49</v>
      </c>
      <c r="S49" s="13" t="s">
        <v>165</v>
      </c>
      <c r="T49" s="13" t="s">
        <v>165</v>
      </c>
      <c r="U49" s="13" t="s">
        <v>63</v>
      </c>
      <c r="V49" s="13" t="s">
        <v>63</v>
      </c>
      <c r="W49" t="s">
        <v>52</v>
      </c>
      <c r="X49" s="15" t="s">
        <v>53</v>
      </c>
    </row>
    <row r="50" spans="1:24" ht="40.5">
      <c r="A50" s="4" t="s">
        <v>169</v>
      </c>
      <c r="B50" t="s">
        <v>44</v>
      </c>
      <c r="C50" t="s">
        <v>45</v>
      </c>
      <c r="D50" s="13" t="s">
        <v>115</v>
      </c>
      <c r="E50" t="s">
        <v>47</v>
      </c>
      <c r="F50" t="s">
        <v>48</v>
      </c>
      <c r="G50" t="s">
        <v>48</v>
      </c>
      <c r="H50" s="9">
        <v>2000000</v>
      </c>
      <c r="I50" s="9">
        <v>2000000</v>
      </c>
      <c r="J50" s="9">
        <f t="shared" si="0"/>
        <v>0</v>
      </c>
      <c r="K50" s="9">
        <v>0</v>
      </c>
      <c r="L50" s="9">
        <v>0</v>
      </c>
      <c r="M50" s="9">
        <f t="shared" si="1"/>
        <v>0</v>
      </c>
      <c r="N50" s="17">
        <v>0</v>
      </c>
      <c r="O50" s="17">
        <v>0</v>
      </c>
      <c r="P50" s="17">
        <f t="shared" si="2"/>
        <v>0</v>
      </c>
      <c r="Q50" t="s">
        <v>49</v>
      </c>
      <c r="R50" t="s">
        <v>49</v>
      </c>
      <c r="S50" s="13" t="s">
        <v>170</v>
      </c>
      <c r="T50" s="13" t="s">
        <v>170</v>
      </c>
      <c r="U50" s="13" t="s">
        <v>171</v>
      </c>
      <c r="V50" s="13" t="s">
        <v>171</v>
      </c>
      <c r="W50" t="s">
        <v>52</v>
      </c>
      <c r="X50" s="15" t="s">
        <v>53</v>
      </c>
    </row>
    <row r="51" spans="1:24" ht="40.5">
      <c r="A51" s="4" t="s">
        <v>172</v>
      </c>
      <c r="B51" t="s">
        <v>44</v>
      </c>
      <c r="C51" t="s">
        <v>45</v>
      </c>
      <c r="D51" s="13" t="s">
        <v>147</v>
      </c>
      <c r="E51" t="s">
        <v>47</v>
      </c>
      <c r="F51" t="s">
        <v>48</v>
      </c>
      <c r="G51" t="s">
        <v>48</v>
      </c>
      <c r="H51" s="9">
        <v>371000</v>
      </c>
      <c r="I51" s="9">
        <v>371000</v>
      </c>
      <c r="J51" s="9">
        <f t="shared" si="0"/>
        <v>0</v>
      </c>
      <c r="K51" s="9">
        <v>0</v>
      </c>
      <c r="L51" s="9">
        <v>0</v>
      </c>
      <c r="M51" s="9">
        <f t="shared" si="1"/>
        <v>0</v>
      </c>
      <c r="N51" s="17">
        <v>0</v>
      </c>
      <c r="O51" s="17">
        <v>0</v>
      </c>
      <c r="P51" s="17">
        <f t="shared" si="2"/>
        <v>0</v>
      </c>
      <c r="Q51" t="s">
        <v>49</v>
      </c>
      <c r="R51" t="s">
        <v>49</v>
      </c>
      <c r="S51" s="13" t="s">
        <v>152</v>
      </c>
      <c r="T51" s="13" t="s">
        <v>152</v>
      </c>
      <c r="U51" s="13" t="s">
        <v>63</v>
      </c>
      <c r="V51" s="13" t="s">
        <v>63</v>
      </c>
      <c r="W51" t="s">
        <v>52</v>
      </c>
      <c r="X51" s="15" t="s">
        <v>53</v>
      </c>
    </row>
    <row r="52" spans="1:24" ht="40.5">
      <c r="A52" s="4" t="s">
        <v>173</v>
      </c>
      <c r="B52" t="s">
        <v>44</v>
      </c>
      <c r="C52" t="s">
        <v>45</v>
      </c>
      <c r="D52" s="13" t="s">
        <v>162</v>
      </c>
      <c r="E52" t="s">
        <v>47</v>
      </c>
      <c r="F52" t="s">
        <v>48</v>
      </c>
      <c r="G52" t="s">
        <v>48</v>
      </c>
      <c r="H52" s="9">
        <v>750000</v>
      </c>
      <c r="I52" s="9">
        <v>750000</v>
      </c>
      <c r="J52" s="9">
        <f t="shared" si="0"/>
        <v>0</v>
      </c>
      <c r="K52" s="9">
        <v>0</v>
      </c>
      <c r="L52" s="9">
        <v>0</v>
      </c>
      <c r="M52" s="9">
        <f t="shared" si="1"/>
        <v>0</v>
      </c>
      <c r="N52" s="17">
        <v>0</v>
      </c>
      <c r="O52" s="17">
        <v>0</v>
      </c>
      <c r="P52" s="17">
        <f t="shared" si="2"/>
        <v>0</v>
      </c>
      <c r="Q52" t="s">
        <v>49</v>
      </c>
      <c r="R52" t="s">
        <v>49</v>
      </c>
      <c r="S52" s="13" t="s">
        <v>163</v>
      </c>
      <c r="T52" s="13" t="s">
        <v>163</v>
      </c>
      <c r="U52" s="13" t="s">
        <v>63</v>
      </c>
      <c r="V52" s="13" t="s">
        <v>63</v>
      </c>
      <c r="W52" t="s">
        <v>52</v>
      </c>
      <c r="X52" s="15" t="s">
        <v>53</v>
      </c>
    </row>
    <row r="53" spans="1:24" ht="40.5">
      <c r="A53" s="4" t="s">
        <v>174</v>
      </c>
      <c r="B53" t="s">
        <v>44</v>
      </c>
      <c r="C53" t="s">
        <v>45</v>
      </c>
      <c r="D53" s="13" t="s">
        <v>159</v>
      </c>
      <c r="E53" t="s">
        <v>47</v>
      </c>
      <c r="F53" t="s">
        <v>48</v>
      </c>
      <c r="G53" t="s">
        <v>48</v>
      </c>
      <c r="H53" s="9">
        <v>125000</v>
      </c>
      <c r="I53" s="9">
        <v>125000</v>
      </c>
      <c r="J53" s="9">
        <f t="shared" si="0"/>
        <v>0</v>
      </c>
      <c r="K53" s="9">
        <v>0</v>
      </c>
      <c r="L53" s="9">
        <v>0</v>
      </c>
      <c r="M53" s="9">
        <f t="shared" si="1"/>
        <v>0</v>
      </c>
      <c r="N53" s="17">
        <v>0</v>
      </c>
      <c r="O53" s="17">
        <v>0</v>
      </c>
      <c r="P53" s="17">
        <f t="shared" si="2"/>
        <v>0</v>
      </c>
      <c r="Q53" t="s">
        <v>49</v>
      </c>
      <c r="R53" t="s">
        <v>49</v>
      </c>
      <c r="S53" s="13" t="s">
        <v>160</v>
      </c>
      <c r="T53" s="13" t="s">
        <v>160</v>
      </c>
      <c r="U53" s="13" t="s">
        <v>63</v>
      </c>
      <c r="V53" s="13" t="s">
        <v>63</v>
      </c>
      <c r="W53" t="s">
        <v>52</v>
      </c>
      <c r="X53" s="15" t="s">
        <v>53</v>
      </c>
    </row>
    <row r="54" spans="1:24" ht="40.5">
      <c r="A54" s="4" t="s">
        <v>175</v>
      </c>
      <c r="B54" t="s">
        <v>44</v>
      </c>
      <c r="C54" t="s">
        <v>45</v>
      </c>
      <c r="D54" s="13" t="s">
        <v>75</v>
      </c>
      <c r="E54" t="s">
        <v>47</v>
      </c>
      <c r="F54" t="s">
        <v>48</v>
      </c>
      <c r="G54" t="s">
        <v>48</v>
      </c>
      <c r="H54" s="9">
        <v>375000</v>
      </c>
      <c r="I54" s="9">
        <v>375000</v>
      </c>
      <c r="J54" s="9">
        <f t="shared" si="0"/>
        <v>0</v>
      </c>
      <c r="K54" s="9">
        <v>0</v>
      </c>
      <c r="L54" s="9">
        <v>0</v>
      </c>
      <c r="M54" s="9">
        <f t="shared" si="1"/>
        <v>0</v>
      </c>
      <c r="N54" s="17">
        <v>0</v>
      </c>
      <c r="O54" s="17">
        <v>0</v>
      </c>
      <c r="P54" s="17">
        <f t="shared" si="2"/>
        <v>0</v>
      </c>
      <c r="Q54" t="s">
        <v>49</v>
      </c>
      <c r="R54" t="s">
        <v>49</v>
      </c>
      <c r="S54" s="13" t="s">
        <v>150</v>
      </c>
      <c r="T54" s="13" t="s">
        <v>150</v>
      </c>
      <c r="U54" s="13" t="s">
        <v>63</v>
      </c>
      <c r="V54" s="13" t="s">
        <v>63</v>
      </c>
      <c r="W54" t="s">
        <v>52</v>
      </c>
      <c r="X54" s="15" t="s">
        <v>53</v>
      </c>
    </row>
    <row r="55" spans="1:24" ht="40.5">
      <c r="A55" s="4" t="s">
        <v>176</v>
      </c>
      <c r="B55" t="s">
        <v>44</v>
      </c>
      <c r="C55" t="s">
        <v>45</v>
      </c>
      <c r="D55" s="13" t="s">
        <v>78</v>
      </c>
      <c r="E55" t="s">
        <v>47</v>
      </c>
      <c r="F55" t="s">
        <v>48</v>
      </c>
      <c r="G55" t="s">
        <v>48</v>
      </c>
      <c r="H55" s="9">
        <v>375000</v>
      </c>
      <c r="I55" s="9">
        <v>375000</v>
      </c>
      <c r="J55" s="9">
        <f t="shared" si="0"/>
        <v>0</v>
      </c>
      <c r="K55" s="9">
        <v>0</v>
      </c>
      <c r="L55" s="9">
        <v>0</v>
      </c>
      <c r="M55" s="9">
        <f t="shared" si="1"/>
        <v>0</v>
      </c>
      <c r="N55" s="17">
        <v>0</v>
      </c>
      <c r="O55" s="17">
        <v>0</v>
      </c>
      <c r="P55" s="17">
        <f t="shared" si="2"/>
        <v>0</v>
      </c>
      <c r="Q55" t="s">
        <v>49</v>
      </c>
      <c r="R55" t="s">
        <v>49</v>
      </c>
      <c r="S55" s="13" t="s">
        <v>150</v>
      </c>
      <c r="T55" s="13" t="s">
        <v>150</v>
      </c>
      <c r="U55" s="13" t="s">
        <v>63</v>
      </c>
      <c r="V55" s="13" t="s">
        <v>63</v>
      </c>
      <c r="W55" t="s">
        <v>52</v>
      </c>
      <c r="X55" s="15" t="s">
        <v>53</v>
      </c>
    </row>
    <row r="56" spans="1:24" ht="40.5">
      <c r="A56" s="4" t="s">
        <v>177</v>
      </c>
      <c r="B56" t="s">
        <v>44</v>
      </c>
      <c r="C56" t="s">
        <v>45</v>
      </c>
      <c r="D56" s="13" t="s">
        <v>130</v>
      </c>
      <c r="E56" t="s">
        <v>47</v>
      </c>
      <c r="F56" t="s">
        <v>48</v>
      </c>
      <c r="G56" t="s">
        <v>48</v>
      </c>
      <c r="H56" s="9">
        <v>154000</v>
      </c>
      <c r="I56" s="9">
        <v>154000</v>
      </c>
      <c r="J56" s="9">
        <f t="shared" si="0"/>
        <v>0</v>
      </c>
      <c r="K56" s="9">
        <v>0</v>
      </c>
      <c r="L56" s="9">
        <v>0</v>
      </c>
      <c r="M56" s="9">
        <f t="shared" si="1"/>
        <v>0</v>
      </c>
      <c r="N56" s="17">
        <v>0</v>
      </c>
      <c r="O56" s="17">
        <v>0</v>
      </c>
      <c r="P56" s="17">
        <f t="shared" si="2"/>
        <v>0</v>
      </c>
      <c r="Q56" t="s">
        <v>49</v>
      </c>
      <c r="R56" t="s">
        <v>49</v>
      </c>
      <c r="S56" s="13" t="s">
        <v>156</v>
      </c>
      <c r="T56" s="13" t="s">
        <v>156</v>
      </c>
      <c r="U56" s="13" t="s">
        <v>63</v>
      </c>
      <c r="V56" s="13" t="s">
        <v>63</v>
      </c>
      <c r="W56" t="s">
        <v>52</v>
      </c>
      <c r="X56" s="15" t="s">
        <v>53</v>
      </c>
    </row>
    <row r="57" spans="1:24" ht="40.5">
      <c r="A57" s="4" t="s">
        <v>178</v>
      </c>
      <c r="B57" t="s">
        <v>44</v>
      </c>
      <c r="C57" t="s">
        <v>45</v>
      </c>
      <c r="D57" s="13" t="s">
        <v>80</v>
      </c>
      <c r="E57" t="s">
        <v>47</v>
      </c>
      <c r="F57" t="s">
        <v>48</v>
      </c>
      <c r="G57" t="s">
        <v>48</v>
      </c>
      <c r="H57" s="9">
        <v>110000</v>
      </c>
      <c r="I57" s="9">
        <v>110000</v>
      </c>
      <c r="J57" s="9">
        <f t="shared" si="0"/>
        <v>0</v>
      </c>
      <c r="K57" s="9">
        <v>0</v>
      </c>
      <c r="L57" s="9">
        <v>0</v>
      </c>
      <c r="M57" s="9">
        <f t="shared" si="1"/>
        <v>0</v>
      </c>
      <c r="N57" s="17">
        <v>0</v>
      </c>
      <c r="O57" s="17">
        <v>0</v>
      </c>
      <c r="P57" s="17">
        <f t="shared" si="2"/>
        <v>0</v>
      </c>
      <c r="Q57" t="s">
        <v>49</v>
      </c>
      <c r="R57" t="s">
        <v>49</v>
      </c>
      <c r="S57" s="13" t="s">
        <v>154</v>
      </c>
      <c r="T57" s="13" t="s">
        <v>154</v>
      </c>
      <c r="U57" s="13" t="s">
        <v>63</v>
      </c>
      <c r="V57" s="13" t="s">
        <v>63</v>
      </c>
      <c r="W57" t="s">
        <v>52</v>
      </c>
      <c r="X57" s="15" t="s">
        <v>53</v>
      </c>
    </row>
    <row r="58" spans="1:24" ht="40.5">
      <c r="A58" s="4" t="s">
        <v>179</v>
      </c>
      <c r="B58" t="s">
        <v>44</v>
      </c>
      <c r="C58" t="s">
        <v>45</v>
      </c>
      <c r="D58" s="13" t="s">
        <v>75</v>
      </c>
      <c r="E58" t="s">
        <v>47</v>
      </c>
      <c r="F58" t="s">
        <v>48</v>
      </c>
      <c r="G58" t="s">
        <v>48</v>
      </c>
      <c r="H58" s="9">
        <v>7000000</v>
      </c>
      <c r="I58" s="9">
        <v>7000000</v>
      </c>
      <c r="J58" s="9">
        <f t="shared" si="0"/>
        <v>0</v>
      </c>
      <c r="K58" s="9">
        <v>0</v>
      </c>
      <c r="L58" s="9">
        <v>0</v>
      </c>
      <c r="M58" s="9">
        <f t="shared" si="1"/>
        <v>0</v>
      </c>
      <c r="N58" s="17">
        <v>0</v>
      </c>
      <c r="O58" s="17">
        <v>0</v>
      </c>
      <c r="P58" s="17">
        <f t="shared" si="2"/>
        <v>0</v>
      </c>
      <c r="Q58" t="s">
        <v>49</v>
      </c>
      <c r="R58" t="s">
        <v>49</v>
      </c>
      <c r="S58" s="13" t="s">
        <v>109</v>
      </c>
      <c r="T58" s="13" t="s">
        <v>109</v>
      </c>
      <c r="U58" s="13" t="s">
        <v>63</v>
      </c>
      <c r="V58" s="13" t="s">
        <v>63</v>
      </c>
      <c r="W58" t="s">
        <v>52</v>
      </c>
      <c r="X58" s="15" t="s">
        <v>53</v>
      </c>
    </row>
    <row r="59" spans="1:24" ht="40.5">
      <c r="A59" s="4" t="s">
        <v>180</v>
      </c>
      <c r="B59" t="s">
        <v>44</v>
      </c>
      <c r="C59" t="s">
        <v>45</v>
      </c>
      <c r="D59" s="13" t="s">
        <v>181</v>
      </c>
      <c r="E59" t="s">
        <v>47</v>
      </c>
      <c r="F59" t="s">
        <v>48</v>
      </c>
      <c r="G59" t="s">
        <v>48</v>
      </c>
      <c r="H59" s="9">
        <v>4480000</v>
      </c>
      <c r="I59" s="9">
        <v>4480000</v>
      </c>
      <c r="J59" s="9">
        <f t="shared" si="0"/>
        <v>0</v>
      </c>
      <c r="K59" s="9">
        <v>0</v>
      </c>
      <c r="L59" s="9">
        <v>0</v>
      </c>
      <c r="M59" s="9">
        <f t="shared" si="1"/>
        <v>0</v>
      </c>
      <c r="N59" s="17">
        <v>0</v>
      </c>
      <c r="O59" s="17">
        <v>0</v>
      </c>
      <c r="P59" s="17">
        <f t="shared" si="2"/>
        <v>0</v>
      </c>
      <c r="Q59" t="s">
        <v>49</v>
      </c>
      <c r="R59" t="s">
        <v>49</v>
      </c>
      <c r="S59" s="13" t="s">
        <v>182</v>
      </c>
      <c r="T59" s="13" t="s">
        <v>182</v>
      </c>
      <c r="U59" s="13" t="s">
        <v>63</v>
      </c>
      <c r="V59" s="13" t="s">
        <v>63</v>
      </c>
      <c r="W59" t="s">
        <v>52</v>
      </c>
      <c r="X59" s="15" t="s">
        <v>53</v>
      </c>
    </row>
    <row r="60" spans="1:24" ht="40.5">
      <c r="A60" s="4" t="s">
        <v>183</v>
      </c>
      <c r="B60" t="s">
        <v>44</v>
      </c>
      <c r="C60" t="s">
        <v>45</v>
      </c>
      <c r="D60" s="13" t="s">
        <v>46</v>
      </c>
      <c r="E60" t="s">
        <v>47</v>
      </c>
      <c r="F60" t="s">
        <v>48</v>
      </c>
      <c r="G60" t="s">
        <v>48</v>
      </c>
      <c r="H60" s="9">
        <v>1750000</v>
      </c>
      <c r="I60" s="9">
        <v>1750000</v>
      </c>
      <c r="J60" s="9">
        <f t="shared" si="0"/>
        <v>0</v>
      </c>
      <c r="K60" s="9">
        <v>0</v>
      </c>
      <c r="L60" s="9">
        <v>0</v>
      </c>
      <c r="M60" s="9">
        <f t="shared" si="1"/>
        <v>0</v>
      </c>
      <c r="N60" s="17">
        <v>0</v>
      </c>
      <c r="O60" s="17">
        <v>0</v>
      </c>
      <c r="P60" s="17">
        <f t="shared" si="2"/>
        <v>0</v>
      </c>
      <c r="Q60" t="s">
        <v>49</v>
      </c>
      <c r="R60" t="s">
        <v>49</v>
      </c>
      <c r="S60" s="13" t="s">
        <v>184</v>
      </c>
      <c r="T60" s="13" t="s">
        <v>184</v>
      </c>
      <c r="U60" s="13" t="s">
        <v>63</v>
      </c>
      <c r="V60" s="13" t="s">
        <v>63</v>
      </c>
      <c r="W60" t="s">
        <v>52</v>
      </c>
      <c r="X60" s="15" t="s">
        <v>53</v>
      </c>
    </row>
    <row r="61" spans="1:24" ht="40.5">
      <c r="A61" s="4" t="s">
        <v>185</v>
      </c>
      <c r="B61" t="s">
        <v>44</v>
      </c>
      <c r="C61" t="s">
        <v>45</v>
      </c>
      <c r="D61" s="13" t="s">
        <v>186</v>
      </c>
      <c r="E61" t="s">
        <v>47</v>
      </c>
      <c r="F61" t="s">
        <v>48</v>
      </c>
      <c r="G61" t="s">
        <v>48</v>
      </c>
      <c r="H61" s="9">
        <v>5600000</v>
      </c>
      <c r="I61" s="9">
        <v>5600000</v>
      </c>
      <c r="J61" s="9">
        <f t="shared" si="0"/>
        <v>0</v>
      </c>
      <c r="K61" s="9">
        <v>0</v>
      </c>
      <c r="L61" s="9">
        <v>0</v>
      </c>
      <c r="M61" s="9">
        <f t="shared" si="1"/>
        <v>0</v>
      </c>
      <c r="N61" s="17">
        <v>0</v>
      </c>
      <c r="O61" s="17">
        <v>0</v>
      </c>
      <c r="P61" s="17">
        <f t="shared" si="2"/>
        <v>0</v>
      </c>
      <c r="Q61" t="s">
        <v>49</v>
      </c>
      <c r="R61" t="s">
        <v>49</v>
      </c>
      <c r="S61" s="13" t="s">
        <v>187</v>
      </c>
      <c r="T61" s="13" t="s">
        <v>187</v>
      </c>
      <c r="U61" s="13" t="s">
        <v>63</v>
      </c>
      <c r="V61" s="13" t="s">
        <v>63</v>
      </c>
      <c r="W61" t="s">
        <v>52</v>
      </c>
      <c r="X61" s="15" t="s">
        <v>53</v>
      </c>
    </row>
    <row r="62" spans="1:24" ht="40.5">
      <c r="A62" s="4" t="s">
        <v>188</v>
      </c>
      <c r="B62" t="s">
        <v>44</v>
      </c>
      <c r="C62" t="s">
        <v>45</v>
      </c>
      <c r="D62" s="13" t="s">
        <v>189</v>
      </c>
      <c r="E62" t="s">
        <v>47</v>
      </c>
      <c r="F62" t="s">
        <v>48</v>
      </c>
      <c r="G62" t="s">
        <v>48</v>
      </c>
      <c r="H62" s="9">
        <v>21760000</v>
      </c>
      <c r="I62" s="9">
        <v>21760000</v>
      </c>
      <c r="J62" s="9">
        <f t="shared" si="0"/>
        <v>0</v>
      </c>
      <c r="K62" s="9">
        <v>0</v>
      </c>
      <c r="L62" s="9">
        <v>0</v>
      </c>
      <c r="M62" s="9">
        <f t="shared" si="1"/>
        <v>0</v>
      </c>
      <c r="N62" s="17">
        <v>0</v>
      </c>
      <c r="O62" s="17">
        <v>0</v>
      </c>
      <c r="P62" s="17">
        <f t="shared" si="2"/>
        <v>0</v>
      </c>
      <c r="Q62" t="s">
        <v>49</v>
      </c>
      <c r="R62" t="s">
        <v>49</v>
      </c>
      <c r="S62" s="13" t="s">
        <v>190</v>
      </c>
      <c r="T62" s="13" t="s">
        <v>190</v>
      </c>
      <c r="U62" s="13" t="s">
        <v>63</v>
      </c>
      <c r="V62" s="13" t="s">
        <v>63</v>
      </c>
      <c r="W62" t="s">
        <v>52</v>
      </c>
      <c r="X62" s="15" t="s">
        <v>53</v>
      </c>
    </row>
    <row r="63" spans="1:24" ht="40.5">
      <c r="A63" s="4" t="s">
        <v>191</v>
      </c>
      <c r="B63" t="s">
        <v>44</v>
      </c>
      <c r="C63" t="s">
        <v>45</v>
      </c>
      <c r="D63" s="13" t="s">
        <v>80</v>
      </c>
      <c r="E63" t="s">
        <v>47</v>
      </c>
      <c r="F63" t="s">
        <v>48</v>
      </c>
      <c r="G63" t="s">
        <v>48</v>
      </c>
      <c r="H63" s="9">
        <v>1750000</v>
      </c>
      <c r="I63" s="9">
        <v>1750000</v>
      </c>
      <c r="J63" s="9">
        <f t="shared" si="0"/>
        <v>0</v>
      </c>
      <c r="K63" s="9">
        <v>0</v>
      </c>
      <c r="L63" s="9">
        <v>0</v>
      </c>
      <c r="M63" s="9">
        <f t="shared" si="1"/>
        <v>0</v>
      </c>
      <c r="N63" s="17">
        <v>0</v>
      </c>
      <c r="O63" s="17">
        <v>0</v>
      </c>
      <c r="P63" s="17">
        <f t="shared" si="2"/>
        <v>0</v>
      </c>
      <c r="Q63" t="s">
        <v>49</v>
      </c>
      <c r="R63" t="s">
        <v>49</v>
      </c>
      <c r="S63" s="13" t="s">
        <v>111</v>
      </c>
      <c r="T63" s="13" t="s">
        <v>111</v>
      </c>
      <c r="U63" s="13" t="s">
        <v>63</v>
      </c>
      <c r="V63" s="13" t="s">
        <v>63</v>
      </c>
      <c r="W63" t="s">
        <v>52</v>
      </c>
      <c r="X63" s="15" t="s">
        <v>53</v>
      </c>
    </row>
    <row r="64" spans="1:24" ht="40.5">
      <c r="A64" s="4" t="s">
        <v>192</v>
      </c>
      <c r="B64" t="s">
        <v>44</v>
      </c>
      <c r="C64" t="s">
        <v>45</v>
      </c>
      <c r="D64" s="13" t="s">
        <v>100</v>
      </c>
      <c r="E64" t="s">
        <v>47</v>
      </c>
      <c r="F64" t="s">
        <v>48</v>
      </c>
      <c r="G64" t="s">
        <v>48</v>
      </c>
      <c r="H64" s="9">
        <v>11200000</v>
      </c>
      <c r="I64" s="9">
        <v>11200000</v>
      </c>
      <c r="J64" s="9">
        <f t="shared" si="0"/>
        <v>0</v>
      </c>
      <c r="K64" s="9">
        <v>0</v>
      </c>
      <c r="L64" s="9">
        <v>0</v>
      </c>
      <c r="M64" s="9">
        <f t="shared" si="1"/>
        <v>0</v>
      </c>
      <c r="N64" s="17">
        <v>0</v>
      </c>
      <c r="O64" s="17">
        <v>0</v>
      </c>
      <c r="P64" s="17">
        <f t="shared" si="2"/>
        <v>0</v>
      </c>
      <c r="Q64" t="s">
        <v>49</v>
      </c>
      <c r="R64" t="s">
        <v>49</v>
      </c>
      <c r="S64" s="13" t="s">
        <v>101</v>
      </c>
      <c r="T64" s="13" t="s">
        <v>101</v>
      </c>
      <c r="U64" s="13" t="s">
        <v>63</v>
      </c>
      <c r="V64" s="13" t="s">
        <v>63</v>
      </c>
      <c r="W64" t="s">
        <v>52</v>
      </c>
      <c r="X64" s="15" t="s">
        <v>53</v>
      </c>
    </row>
    <row r="65" spans="1:24" ht="40.5">
      <c r="A65" s="4" t="s">
        <v>193</v>
      </c>
      <c r="B65" t="s">
        <v>44</v>
      </c>
      <c r="C65" t="s">
        <v>45</v>
      </c>
      <c r="D65" s="13" t="s">
        <v>105</v>
      </c>
      <c r="E65" t="s">
        <v>47</v>
      </c>
      <c r="F65" t="s">
        <v>48</v>
      </c>
      <c r="G65" t="s">
        <v>48</v>
      </c>
      <c r="H65" s="9">
        <v>1120000</v>
      </c>
      <c r="I65" s="9">
        <v>1120000</v>
      </c>
      <c r="J65" s="9">
        <f t="shared" si="0"/>
        <v>0</v>
      </c>
      <c r="K65" s="9">
        <v>0</v>
      </c>
      <c r="L65" s="9">
        <v>0</v>
      </c>
      <c r="M65" s="9">
        <f t="shared" si="1"/>
        <v>0</v>
      </c>
      <c r="N65" s="17">
        <v>0</v>
      </c>
      <c r="O65" s="17">
        <v>0</v>
      </c>
      <c r="P65" s="17">
        <f t="shared" si="2"/>
        <v>0</v>
      </c>
      <c r="Q65" t="s">
        <v>49</v>
      </c>
      <c r="R65" t="s">
        <v>49</v>
      </c>
      <c r="S65" s="13" t="s">
        <v>106</v>
      </c>
      <c r="T65" s="13" t="s">
        <v>106</v>
      </c>
      <c r="U65" s="13" t="s">
        <v>63</v>
      </c>
      <c r="V65" s="13" t="s">
        <v>63</v>
      </c>
      <c r="W65" t="s">
        <v>52</v>
      </c>
      <c r="X65" s="15" t="s">
        <v>53</v>
      </c>
    </row>
    <row r="66" spans="1:24" ht="40.5">
      <c r="A66" s="4" t="s">
        <v>194</v>
      </c>
      <c r="B66" t="s">
        <v>44</v>
      </c>
      <c r="C66" t="s">
        <v>45</v>
      </c>
      <c r="D66" s="13" t="s">
        <v>75</v>
      </c>
      <c r="E66" t="s">
        <v>47</v>
      </c>
      <c r="F66" t="s">
        <v>48</v>
      </c>
      <c r="G66" t="s">
        <v>48</v>
      </c>
      <c r="H66" s="9">
        <v>3500000</v>
      </c>
      <c r="I66" s="9">
        <v>3500000</v>
      </c>
      <c r="J66" s="9">
        <f t="shared" si="0"/>
        <v>0</v>
      </c>
      <c r="K66" s="9">
        <v>0</v>
      </c>
      <c r="L66" s="9">
        <v>0</v>
      </c>
      <c r="M66" s="9">
        <f t="shared" si="1"/>
        <v>0</v>
      </c>
      <c r="N66" s="17">
        <v>0</v>
      </c>
      <c r="O66" s="17">
        <v>0</v>
      </c>
      <c r="P66" s="17">
        <f t="shared" si="2"/>
        <v>0</v>
      </c>
      <c r="Q66" t="s">
        <v>49</v>
      </c>
      <c r="R66" t="s">
        <v>49</v>
      </c>
      <c r="S66" s="13" t="s">
        <v>195</v>
      </c>
      <c r="T66" s="13" t="s">
        <v>195</v>
      </c>
      <c r="U66" s="13" t="s">
        <v>63</v>
      </c>
      <c r="V66" s="13" t="s">
        <v>63</v>
      </c>
      <c r="W66" t="s">
        <v>52</v>
      </c>
      <c r="X66" s="15" t="s">
        <v>53</v>
      </c>
    </row>
    <row r="67" spans="1:24" ht="40.5">
      <c r="A67" s="4" t="s">
        <v>196</v>
      </c>
      <c r="B67" t="s">
        <v>44</v>
      </c>
      <c r="C67" t="s">
        <v>45</v>
      </c>
      <c r="D67" s="13" t="s">
        <v>78</v>
      </c>
      <c r="E67" t="s">
        <v>47</v>
      </c>
      <c r="F67" t="s">
        <v>48</v>
      </c>
      <c r="G67" t="s">
        <v>48</v>
      </c>
      <c r="H67" s="9">
        <v>3500000</v>
      </c>
      <c r="I67" s="9">
        <v>3500000</v>
      </c>
      <c r="J67" s="9">
        <f t="shared" si="0"/>
        <v>0</v>
      </c>
      <c r="K67" s="9">
        <v>0</v>
      </c>
      <c r="L67" s="9">
        <v>0</v>
      </c>
      <c r="M67" s="9">
        <f t="shared" si="1"/>
        <v>0</v>
      </c>
      <c r="N67" s="17">
        <v>0</v>
      </c>
      <c r="O67" s="17">
        <v>0</v>
      </c>
      <c r="P67" s="17">
        <f t="shared" si="2"/>
        <v>0</v>
      </c>
      <c r="Q67" t="s">
        <v>49</v>
      </c>
      <c r="R67" t="s">
        <v>49</v>
      </c>
      <c r="S67" s="13" t="s">
        <v>195</v>
      </c>
      <c r="T67" s="13" t="s">
        <v>195</v>
      </c>
      <c r="U67" s="13" t="s">
        <v>63</v>
      </c>
      <c r="V67" s="13" t="s">
        <v>63</v>
      </c>
      <c r="W67" t="s">
        <v>52</v>
      </c>
      <c r="X67" s="15" t="s">
        <v>53</v>
      </c>
    </row>
    <row r="68" spans="1:24" ht="40.5">
      <c r="A68" s="4" t="s">
        <v>197</v>
      </c>
      <c r="B68" t="s">
        <v>44</v>
      </c>
      <c r="C68" t="s">
        <v>45</v>
      </c>
      <c r="D68" s="13" t="s">
        <v>46</v>
      </c>
      <c r="E68" t="s">
        <v>47</v>
      </c>
      <c r="F68" t="s">
        <v>48</v>
      </c>
      <c r="G68" t="s">
        <v>48</v>
      </c>
      <c r="H68" s="9">
        <v>1750000</v>
      </c>
      <c r="I68" s="9">
        <v>1750000</v>
      </c>
      <c r="J68" s="9">
        <f t="shared" ref="J68:J131" si="3">IF(OR(H68="",I68=""),"",I68-H68)</f>
        <v>0</v>
      </c>
      <c r="K68" s="9">
        <v>0</v>
      </c>
      <c r="L68" s="9">
        <v>0</v>
      </c>
      <c r="M68" s="9">
        <f t="shared" ref="M68:M131" si="4">IF(OR(K68="",L68=""),"",L68-K68)</f>
        <v>0</v>
      </c>
      <c r="N68" s="17">
        <v>0</v>
      </c>
      <c r="O68" s="17">
        <v>0</v>
      </c>
      <c r="P68" s="17">
        <f t="shared" ref="P68:P131" si="5">IF(OR(N68="",O68=""),"",O68-N68)</f>
        <v>0</v>
      </c>
      <c r="Q68" t="s">
        <v>49</v>
      </c>
      <c r="R68" t="s">
        <v>49</v>
      </c>
      <c r="S68" s="13" t="s">
        <v>111</v>
      </c>
      <c r="T68" s="13" t="s">
        <v>111</v>
      </c>
      <c r="U68" s="13" t="s">
        <v>63</v>
      </c>
      <c r="V68" s="13" t="s">
        <v>63</v>
      </c>
      <c r="W68" t="s">
        <v>52</v>
      </c>
      <c r="X68" s="15" t="s">
        <v>53</v>
      </c>
    </row>
    <row r="69" spans="1:24" ht="40.5">
      <c r="A69" s="4" t="s">
        <v>198</v>
      </c>
      <c r="B69" t="s">
        <v>44</v>
      </c>
      <c r="C69" t="s">
        <v>45</v>
      </c>
      <c r="D69" s="13" t="s">
        <v>199</v>
      </c>
      <c r="E69" t="s">
        <v>47</v>
      </c>
      <c r="F69" t="s">
        <v>48</v>
      </c>
      <c r="G69" t="s">
        <v>48</v>
      </c>
      <c r="H69" s="9">
        <v>33280000</v>
      </c>
      <c r="I69" s="9">
        <v>33280000</v>
      </c>
      <c r="J69" s="9">
        <f t="shared" si="3"/>
        <v>0</v>
      </c>
      <c r="K69" s="9">
        <v>0</v>
      </c>
      <c r="L69" s="9">
        <v>0</v>
      </c>
      <c r="M69" s="9">
        <f t="shared" si="4"/>
        <v>0</v>
      </c>
      <c r="N69" s="17">
        <v>0</v>
      </c>
      <c r="O69" s="17">
        <v>0</v>
      </c>
      <c r="P69" s="17">
        <f t="shared" si="5"/>
        <v>0</v>
      </c>
      <c r="Q69" t="s">
        <v>49</v>
      </c>
      <c r="R69" t="s">
        <v>49</v>
      </c>
      <c r="S69" s="13" t="s">
        <v>200</v>
      </c>
      <c r="T69" s="13" t="s">
        <v>200</v>
      </c>
      <c r="U69" s="13" t="s">
        <v>63</v>
      </c>
      <c r="V69" s="13" t="s">
        <v>63</v>
      </c>
      <c r="W69" t="s">
        <v>52</v>
      </c>
      <c r="X69" s="15" t="s">
        <v>53</v>
      </c>
    </row>
    <row r="70" spans="1:24" ht="40.5">
      <c r="A70" s="4" t="s">
        <v>201</v>
      </c>
      <c r="B70" t="s">
        <v>44</v>
      </c>
      <c r="C70" t="s">
        <v>45</v>
      </c>
      <c r="D70" s="13" t="s">
        <v>80</v>
      </c>
      <c r="E70" t="s">
        <v>47</v>
      </c>
      <c r="F70" t="s">
        <v>48</v>
      </c>
      <c r="G70" t="s">
        <v>48</v>
      </c>
      <c r="H70" s="9">
        <v>1000000</v>
      </c>
      <c r="I70" s="9">
        <v>1000000</v>
      </c>
      <c r="J70" s="9">
        <f t="shared" si="3"/>
        <v>0</v>
      </c>
      <c r="K70" s="9">
        <v>0</v>
      </c>
      <c r="L70" s="9">
        <v>0</v>
      </c>
      <c r="M70" s="9">
        <f t="shared" si="4"/>
        <v>0</v>
      </c>
      <c r="N70" s="17">
        <v>0</v>
      </c>
      <c r="O70" s="17">
        <v>0</v>
      </c>
      <c r="P70" s="17">
        <f t="shared" si="5"/>
        <v>0</v>
      </c>
      <c r="Q70" t="s">
        <v>49</v>
      </c>
      <c r="R70" t="s">
        <v>49</v>
      </c>
      <c r="S70" s="13" t="s">
        <v>202</v>
      </c>
      <c r="T70" s="13" t="s">
        <v>202</v>
      </c>
      <c r="U70" s="13" t="s">
        <v>63</v>
      </c>
      <c r="V70" s="13" t="s">
        <v>63</v>
      </c>
      <c r="W70" t="s">
        <v>52</v>
      </c>
      <c r="X70" s="15" t="s">
        <v>53</v>
      </c>
    </row>
    <row r="71" spans="1:24" ht="40.5">
      <c r="A71" s="4" t="s">
        <v>203</v>
      </c>
      <c r="B71" t="s">
        <v>44</v>
      </c>
      <c r="C71" t="s">
        <v>45</v>
      </c>
      <c r="D71" s="13" t="s">
        <v>100</v>
      </c>
      <c r="E71" t="s">
        <v>47</v>
      </c>
      <c r="F71" t="s">
        <v>48</v>
      </c>
      <c r="G71" t="s">
        <v>48</v>
      </c>
      <c r="H71" s="9">
        <v>6400000</v>
      </c>
      <c r="I71" s="9">
        <v>6400000</v>
      </c>
      <c r="J71" s="9">
        <f t="shared" si="3"/>
        <v>0</v>
      </c>
      <c r="K71" s="9">
        <v>0</v>
      </c>
      <c r="L71" s="9">
        <v>0</v>
      </c>
      <c r="M71" s="9">
        <f t="shared" si="4"/>
        <v>0</v>
      </c>
      <c r="N71" s="17">
        <v>0</v>
      </c>
      <c r="O71" s="17">
        <v>0</v>
      </c>
      <c r="P71" s="17">
        <f t="shared" si="5"/>
        <v>0</v>
      </c>
      <c r="Q71" t="s">
        <v>49</v>
      </c>
      <c r="R71" t="s">
        <v>49</v>
      </c>
      <c r="S71" s="13" t="s">
        <v>204</v>
      </c>
      <c r="T71" s="13" t="s">
        <v>204</v>
      </c>
      <c r="U71" s="13" t="s">
        <v>63</v>
      </c>
      <c r="V71" s="13" t="s">
        <v>63</v>
      </c>
      <c r="W71" t="s">
        <v>52</v>
      </c>
      <c r="X71" s="15" t="s">
        <v>53</v>
      </c>
    </row>
    <row r="72" spans="1:24" ht="40.5">
      <c r="A72" s="4" t="s">
        <v>205</v>
      </c>
      <c r="B72" t="s">
        <v>44</v>
      </c>
      <c r="C72" t="s">
        <v>45</v>
      </c>
      <c r="D72" s="13" t="s">
        <v>105</v>
      </c>
      <c r="E72" t="s">
        <v>47</v>
      </c>
      <c r="F72" t="s">
        <v>48</v>
      </c>
      <c r="G72" t="s">
        <v>48</v>
      </c>
      <c r="H72" s="9">
        <v>640000</v>
      </c>
      <c r="I72" s="9">
        <v>640000</v>
      </c>
      <c r="J72" s="9">
        <f t="shared" si="3"/>
        <v>0</v>
      </c>
      <c r="K72" s="9">
        <v>0</v>
      </c>
      <c r="L72" s="9">
        <v>0</v>
      </c>
      <c r="M72" s="9">
        <f t="shared" si="4"/>
        <v>0</v>
      </c>
      <c r="N72" s="17">
        <v>0</v>
      </c>
      <c r="O72" s="17">
        <v>0</v>
      </c>
      <c r="P72" s="17">
        <f t="shared" si="5"/>
        <v>0</v>
      </c>
      <c r="Q72" t="s">
        <v>49</v>
      </c>
      <c r="R72" t="s">
        <v>49</v>
      </c>
      <c r="S72" s="13" t="s">
        <v>206</v>
      </c>
      <c r="T72" s="13" t="s">
        <v>206</v>
      </c>
      <c r="U72" s="13" t="s">
        <v>63</v>
      </c>
      <c r="V72" s="13" t="s">
        <v>63</v>
      </c>
      <c r="W72" t="s">
        <v>52</v>
      </c>
      <c r="X72" s="15" t="s">
        <v>53</v>
      </c>
    </row>
    <row r="73" spans="1:24" ht="40.5">
      <c r="A73" s="4" t="s">
        <v>207</v>
      </c>
      <c r="B73" t="s">
        <v>44</v>
      </c>
      <c r="C73" t="s">
        <v>45</v>
      </c>
      <c r="D73" s="13" t="s">
        <v>208</v>
      </c>
      <c r="E73" t="s">
        <v>47</v>
      </c>
      <c r="F73" t="s">
        <v>48</v>
      </c>
      <c r="G73" t="s">
        <v>48</v>
      </c>
      <c r="H73" s="9">
        <v>9600000</v>
      </c>
      <c r="I73" s="9">
        <v>9600000</v>
      </c>
      <c r="J73" s="9">
        <f t="shared" si="3"/>
        <v>0</v>
      </c>
      <c r="K73" s="9">
        <v>0</v>
      </c>
      <c r="L73" s="9">
        <v>0</v>
      </c>
      <c r="M73" s="9">
        <f t="shared" si="4"/>
        <v>0</v>
      </c>
      <c r="N73" s="17">
        <v>0</v>
      </c>
      <c r="O73" s="17">
        <v>0</v>
      </c>
      <c r="P73" s="17">
        <f t="shared" si="5"/>
        <v>0</v>
      </c>
      <c r="Q73" t="s">
        <v>49</v>
      </c>
      <c r="R73" t="s">
        <v>49</v>
      </c>
      <c r="S73" s="13" t="s">
        <v>209</v>
      </c>
      <c r="T73" s="13" t="s">
        <v>209</v>
      </c>
      <c r="U73" s="13" t="s">
        <v>63</v>
      </c>
      <c r="V73" s="13" t="s">
        <v>63</v>
      </c>
      <c r="W73" t="s">
        <v>52</v>
      </c>
      <c r="X73" s="15" t="s">
        <v>53</v>
      </c>
    </row>
    <row r="74" spans="1:24" ht="40.5">
      <c r="A74" s="4" t="s">
        <v>210</v>
      </c>
      <c r="B74" t="s">
        <v>44</v>
      </c>
      <c r="C74" t="s">
        <v>45</v>
      </c>
      <c r="D74" s="13" t="s">
        <v>211</v>
      </c>
      <c r="E74" t="s">
        <v>47</v>
      </c>
      <c r="F74" t="s">
        <v>48</v>
      </c>
      <c r="G74" t="s">
        <v>48</v>
      </c>
      <c r="H74" s="9">
        <v>44000000</v>
      </c>
      <c r="I74" s="9">
        <v>44000000</v>
      </c>
      <c r="J74" s="9">
        <f t="shared" si="3"/>
        <v>0</v>
      </c>
      <c r="K74" s="9">
        <v>0</v>
      </c>
      <c r="L74" s="9">
        <v>0</v>
      </c>
      <c r="M74" s="9">
        <f t="shared" si="4"/>
        <v>0</v>
      </c>
      <c r="N74" s="17">
        <v>0</v>
      </c>
      <c r="O74" s="17">
        <v>0</v>
      </c>
      <c r="P74" s="17">
        <f t="shared" si="5"/>
        <v>0</v>
      </c>
      <c r="Q74" t="s">
        <v>49</v>
      </c>
      <c r="R74" t="s">
        <v>49</v>
      </c>
      <c r="S74" s="13" t="s">
        <v>212</v>
      </c>
      <c r="T74" s="13" t="s">
        <v>212</v>
      </c>
      <c r="U74" s="13" t="s">
        <v>63</v>
      </c>
      <c r="V74" s="13" t="s">
        <v>63</v>
      </c>
      <c r="W74" t="s">
        <v>52</v>
      </c>
      <c r="X74" s="15" t="s">
        <v>53</v>
      </c>
    </row>
    <row r="75" spans="1:24" ht="40.5">
      <c r="A75" s="4" t="s">
        <v>213</v>
      </c>
      <c r="B75" t="s">
        <v>44</v>
      </c>
      <c r="C75" t="s">
        <v>45</v>
      </c>
      <c r="D75" s="13" t="s">
        <v>214</v>
      </c>
      <c r="E75" t="s">
        <v>47</v>
      </c>
      <c r="F75" t="s">
        <v>48</v>
      </c>
      <c r="G75" t="s">
        <v>48</v>
      </c>
      <c r="H75" s="9">
        <v>48000000</v>
      </c>
      <c r="I75" s="9">
        <v>48000000</v>
      </c>
      <c r="J75" s="9">
        <f t="shared" si="3"/>
        <v>0</v>
      </c>
      <c r="K75" s="9">
        <v>0</v>
      </c>
      <c r="L75" s="9">
        <v>0</v>
      </c>
      <c r="M75" s="9">
        <f t="shared" si="4"/>
        <v>0</v>
      </c>
      <c r="N75" s="17">
        <v>0</v>
      </c>
      <c r="O75" s="17">
        <v>0</v>
      </c>
      <c r="P75" s="17">
        <f t="shared" si="5"/>
        <v>0</v>
      </c>
      <c r="Q75" t="s">
        <v>49</v>
      </c>
      <c r="R75" t="s">
        <v>49</v>
      </c>
      <c r="S75" s="13" t="s">
        <v>215</v>
      </c>
      <c r="T75" s="13" t="s">
        <v>215</v>
      </c>
      <c r="U75" s="13" t="s">
        <v>63</v>
      </c>
      <c r="V75" s="13" t="s">
        <v>63</v>
      </c>
      <c r="W75" t="s">
        <v>52</v>
      </c>
      <c r="X75" s="15" t="s">
        <v>53</v>
      </c>
    </row>
    <row r="76" spans="1:24" ht="40.5">
      <c r="A76" s="4" t="s">
        <v>216</v>
      </c>
      <c r="B76" t="s">
        <v>44</v>
      </c>
      <c r="C76" t="s">
        <v>45</v>
      </c>
      <c r="D76" s="13" t="s">
        <v>75</v>
      </c>
      <c r="E76" t="s">
        <v>47</v>
      </c>
      <c r="F76" t="s">
        <v>48</v>
      </c>
      <c r="G76" t="s">
        <v>48</v>
      </c>
      <c r="H76" s="9">
        <v>3280000</v>
      </c>
      <c r="I76" s="9">
        <v>3280000</v>
      </c>
      <c r="J76" s="9">
        <f t="shared" si="3"/>
        <v>0</v>
      </c>
      <c r="K76" s="9">
        <v>0</v>
      </c>
      <c r="L76" s="9">
        <v>0</v>
      </c>
      <c r="M76" s="9">
        <f t="shared" si="4"/>
        <v>0</v>
      </c>
      <c r="N76" s="17">
        <v>0</v>
      </c>
      <c r="O76" s="17">
        <v>0</v>
      </c>
      <c r="P76" s="17">
        <f t="shared" si="5"/>
        <v>0</v>
      </c>
      <c r="Q76" t="s">
        <v>49</v>
      </c>
      <c r="R76" t="s">
        <v>49</v>
      </c>
      <c r="S76" s="13" t="s">
        <v>217</v>
      </c>
      <c r="T76" s="13" t="s">
        <v>217</v>
      </c>
      <c r="U76" s="13" t="s">
        <v>63</v>
      </c>
      <c r="V76" s="13" t="s">
        <v>63</v>
      </c>
      <c r="W76" t="s">
        <v>52</v>
      </c>
      <c r="X76" s="15" t="s">
        <v>53</v>
      </c>
    </row>
    <row r="77" spans="1:24" ht="40.5">
      <c r="A77" s="4" t="s">
        <v>218</v>
      </c>
      <c r="B77" t="s">
        <v>44</v>
      </c>
      <c r="C77" t="s">
        <v>45</v>
      </c>
      <c r="D77" s="13" t="s">
        <v>78</v>
      </c>
      <c r="E77" t="s">
        <v>47</v>
      </c>
      <c r="F77" t="s">
        <v>48</v>
      </c>
      <c r="G77" t="s">
        <v>48</v>
      </c>
      <c r="H77" s="9">
        <v>2000000</v>
      </c>
      <c r="I77" s="9">
        <v>2000000</v>
      </c>
      <c r="J77" s="9">
        <f t="shared" si="3"/>
        <v>0</v>
      </c>
      <c r="K77" s="9">
        <v>0</v>
      </c>
      <c r="L77" s="9">
        <v>0</v>
      </c>
      <c r="M77" s="9">
        <f t="shared" si="4"/>
        <v>0</v>
      </c>
      <c r="N77" s="17">
        <v>0</v>
      </c>
      <c r="O77" s="17">
        <v>0</v>
      </c>
      <c r="P77" s="17">
        <f t="shared" si="5"/>
        <v>0</v>
      </c>
      <c r="Q77" t="s">
        <v>49</v>
      </c>
      <c r="R77" t="s">
        <v>49</v>
      </c>
      <c r="S77" s="13" t="s">
        <v>167</v>
      </c>
      <c r="T77" s="13" t="s">
        <v>167</v>
      </c>
      <c r="U77" s="13" t="s">
        <v>63</v>
      </c>
      <c r="V77" s="13" t="s">
        <v>63</v>
      </c>
      <c r="W77" t="s">
        <v>52</v>
      </c>
      <c r="X77" s="15" t="s">
        <v>53</v>
      </c>
    </row>
    <row r="78" spans="1:24" ht="40.5">
      <c r="A78" s="4" t="s">
        <v>219</v>
      </c>
      <c r="B78" t="s">
        <v>44</v>
      </c>
      <c r="C78" t="s">
        <v>45</v>
      </c>
      <c r="D78" s="13" t="s">
        <v>46</v>
      </c>
      <c r="E78" t="s">
        <v>47</v>
      </c>
      <c r="F78" t="s">
        <v>48</v>
      </c>
      <c r="G78" t="s">
        <v>48</v>
      </c>
      <c r="H78" s="9">
        <v>1000000</v>
      </c>
      <c r="I78" s="9">
        <v>1000000</v>
      </c>
      <c r="J78" s="9">
        <f t="shared" si="3"/>
        <v>0</v>
      </c>
      <c r="K78" s="9">
        <v>0</v>
      </c>
      <c r="L78" s="9">
        <v>0</v>
      </c>
      <c r="M78" s="9">
        <f t="shared" si="4"/>
        <v>0</v>
      </c>
      <c r="N78" s="17">
        <v>0</v>
      </c>
      <c r="O78" s="17">
        <v>0</v>
      </c>
      <c r="P78" s="17">
        <f t="shared" si="5"/>
        <v>0</v>
      </c>
      <c r="Q78" t="s">
        <v>49</v>
      </c>
      <c r="R78" t="s">
        <v>49</v>
      </c>
      <c r="S78" s="13" t="s">
        <v>202</v>
      </c>
      <c r="T78" s="13" t="s">
        <v>202</v>
      </c>
      <c r="U78" s="13" t="s">
        <v>63</v>
      </c>
      <c r="V78" s="13" t="s">
        <v>63</v>
      </c>
      <c r="W78" t="s">
        <v>52</v>
      </c>
      <c r="X78" s="15" t="s">
        <v>53</v>
      </c>
    </row>
    <row r="79" spans="1:24" ht="40.5">
      <c r="A79" s="4" t="s">
        <v>220</v>
      </c>
      <c r="B79" t="s">
        <v>44</v>
      </c>
      <c r="C79" t="s">
        <v>45</v>
      </c>
      <c r="D79" s="13" t="s">
        <v>105</v>
      </c>
      <c r="E79" t="s">
        <v>47</v>
      </c>
      <c r="F79" t="s">
        <v>48</v>
      </c>
      <c r="G79" t="s">
        <v>48</v>
      </c>
      <c r="H79" s="9">
        <v>1120000</v>
      </c>
      <c r="I79" s="9">
        <v>1120000</v>
      </c>
      <c r="J79" s="9">
        <f t="shared" si="3"/>
        <v>0</v>
      </c>
      <c r="K79" s="9">
        <v>0</v>
      </c>
      <c r="L79" s="9">
        <v>0</v>
      </c>
      <c r="M79" s="9">
        <f t="shared" si="4"/>
        <v>0</v>
      </c>
      <c r="N79" s="17">
        <v>0</v>
      </c>
      <c r="O79" s="17">
        <v>0</v>
      </c>
      <c r="P79" s="17">
        <f t="shared" si="5"/>
        <v>0</v>
      </c>
      <c r="Q79" t="s">
        <v>49</v>
      </c>
      <c r="R79" t="s">
        <v>49</v>
      </c>
      <c r="S79" s="13" t="s">
        <v>106</v>
      </c>
      <c r="T79" s="13" t="s">
        <v>106</v>
      </c>
      <c r="U79" s="13" t="s">
        <v>63</v>
      </c>
      <c r="V79" s="13" t="s">
        <v>63</v>
      </c>
      <c r="W79" t="s">
        <v>52</v>
      </c>
      <c r="X79" s="15" t="s">
        <v>53</v>
      </c>
    </row>
    <row r="80" spans="1:24" ht="40.5">
      <c r="A80" s="4" t="s">
        <v>221</v>
      </c>
      <c r="B80" t="s">
        <v>44</v>
      </c>
      <c r="C80" t="s">
        <v>45</v>
      </c>
      <c r="D80" s="13" t="s">
        <v>78</v>
      </c>
      <c r="E80" t="s">
        <v>47</v>
      </c>
      <c r="F80" t="s">
        <v>48</v>
      </c>
      <c r="G80" t="s">
        <v>48</v>
      </c>
      <c r="H80" s="9">
        <v>2800000</v>
      </c>
      <c r="I80" s="9">
        <v>2800000</v>
      </c>
      <c r="J80" s="9">
        <f t="shared" si="3"/>
        <v>0</v>
      </c>
      <c r="K80" s="9">
        <v>0</v>
      </c>
      <c r="L80" s="9">
        <v>0</v>
      </c>
      <c r="M80" s="9">
        <f t="shared" si="4"/>
        <v>0</v>
      </c>
      <c r="N80" s="17">
        <v>0</v>
      </c>
      <c r="O80" s="17">
        <v>0</v>
      </c>
      <c r="P80" s="17">
        <f t="shared" si="5"/>
        <v>0</v>
      </c>
      <c r="Q80" t="s">
        <v>49</v>
      </c>
      <c r="R80" t="s">
        <v>49</v>
      </c>
      <c r="S80" s="13" t="s">
        <v>222</v>
      </c>
      <c r="T80" s="13" t="s">
        <v>222</v>
      </c>
      <c r="U80" s="13" t="s">
        <v>171</v>
      </c>
      <c r="V80" s="13" t="s">
        <v>171</v>
      </c>
      <c r="W80" t="s">
        <v>52</v>
      </c>
      <c r="X80" s="15" t="s">
        <v>53</v>
      </c>
    </row>
    <row r="81" spans="1:24" ht="40.5">
      <c r="A81" s="4" t="s">
        <v>223</v>
      </c>
      <c r="B81" t="s">
        <v>44</v>
      </c>
      <c r="C81" t="s">
        <v>45</v>
      </c>
      <c r="D81" s="13" t="s">
        <v>100</v>
      </c>
      <c r="E81" t="s">
        <v>47</v>
      </c>
      <c r="F81" t="s">
        <v>48</v>
      </c>
      <c r="G81" t="s">
        <v>48</v>
      </c>
      <c r="H81" s="9">
        <v>11200000</v>
      </c>
      <c r="I81" s="9">
        <v>11200000</v>
      </c>
      <c r="J81" s="9">
        <f t="shared" si="3"/>
        <v>0</v>
      </c>
      <c r="K81" s="9">
        <v>0</v>
      </c>
      <c r="L81" s="9">
        <v>0</v>
      </c>
      <c r="M81" s="9">
        <f t="shared" si="4"/>
        <v>0</v>
      </c>
      <c r="N81" s="17">
        <v>0</v>
      </c>
      <c r="O81" s="17">
        <v>0</v>
      </c>
      <c r="P81" s="17">
        <f t="shared" si="5"/>
        <v>0</v>
      </c>
      <c r="Q81" t="s">
        <v>49</v>
      </c>
      <c r="R81" t="s">
        <v>49</v>
      </c>
      <c r="S81" s="13" t="s">
        <v>101</v>
      </c>
      <c r="T81" s="13" t="s">
        <v>101</v>
      </c>
      <c r="U81" s="13" t="s">
        <v>63</v>
      </c>
      <c r="V81" s="13" t="s">
        <v>63</v>
      </c>
      <c r="W81" t="s">
        <v>52</v>
      </c>
      <c r="X81" s="15" t="s">
        <v>53</v>
      </c>
    </row>
    <row r="82" spans="1:24" ht="40.5">
      <c r="A82" s="4" t="s">
        <v>224</v>
      </c>
      <c r="B82" t="s">
        <v>44</v>
      </c>
      <c r="C82" t="s">
        <v>45</v>
      </c>
      <c r="D82" s="13" t="s">
        <v>46</v>
      </c>
      <c r="E82" t="s">
        <v>47</v>
      </c>
      <c r="F82" t="s">
        <v>48</v>
      </c>
      <c r="G82" t="s">
        <v>48</v>
      </c>
      <c r="H82" s="9">
        <v>1400000</v>
      </c>
      <c r="I82" s="9">
        <v>1400000</v>
      </c>
      <c r="J82" s="9">
        <f t="shared" si="3"/>
        <v>0</v>
      </c>
      <c r="K82" s="9">
        <v>0</v>
      </c>
      <c r="L82" s="9">
        <v>0</v>
      </c>
      <c r="M82" s="9">
        <f t="shared" si="4"/>
        <v>0</v>
      </c>
      <c r="N82" s="17">
        <v>0</v>
      </c>
      <c r="O82" s="17">
        <v>0</v>
      </c>
      <c r="P82" s="17">
        <f t="shared" si="5"/>
        <v>0</v>
      </c>
      <c r="Q82" t="s">
        <v>49</v>
      </c>
      <c r="R82" t="s">
        <v>49</v>
      </c>
      <c r="S82" s="13" t="s">
        <v>225</v>
      </c>
      <c r="T82" s="13" t="s">
        <v>225</v>
      </c>
      <c r="U82" s="13" t="s">
        <v>63</v>
      </c>
      <c r="V82" s="13" t="s">
        <v>63</v>
      </c>
      <c r="W82" t="s">
        <v>52</v>
      </c>
      <c r="X82" s="15" t="s">
        <v>53</v>
      </c>
    </row>
    <row r="83" spans="1:24" ht="40.5">
      <c r="A83" s="4" t="s">
        <v>226</v>
      </c>
      <c r="B83" t="s">
        <v>44</v>
      </c>
      <c r="C83" t="s">
        <v>45</v>
      </c>
      <c r="D83" s="13" t="s">
        <v>80</v>
      </c>
      <c r="E83" t="s">
        <v>47</v>
      </c>
      <c r="F83" t="s">
        <v>48</v>
      </c>
      <c r="G83" t="s">
        <v>48</v>
      </c>
      <c r="H83" s="9">
        <v>1750000</v>
      </c>
      <c r="I83" s="9">
        <v>1750000</v>
      </c>
      <c r="J83" s="9">
        <f t="shared" si="3"/>
        <v>0</v>
      </c>
      <c r="K83" s="9">
        <v>0</v>
      </c>
      <c r="L83" s="9">
        <v>0</v>
      </c>
      <c r="M83" s="9">
        <f t="shared" si="4"/>
        <v>0</v>
      </c>
      <c r="N83" s="17">
        <v>0</v>
      </c>
      <c r="O83" s="17">
        <v>0</v>
      </c>
      <c r="P83" s="17">
        <f t="shared" si="5"/>
        <v>0</v>
      </c>
      <c r="Q83" t="s">
        <v>49</v>
      </c>
      <c r="R83" t="s">
        <v>49</v>
      </c>
      <c r="S83" s="13" t="s">
        <v>111</v>
      </c>
      <c r="T83" s="13" t="s">
        <v>111</v>
      </c>
      <c r="U83" s="13" t="s">
        <v>63</v>
      </c>
      <c r="V83" s="13" t="s">
        <v>63</v>
      </c>
      <c r="W83" t="s">
        <v>52</v>
      </c>
      <c r="X83" s="15" t="s">
        <v>53</v>
      </c>
    </row>
    <row r="84" spans="1:24" ht="40.5">
      <c r="A84" s="4" t="s">
        <v>227</v>
      </c>
      <c r="B84" t="s">
        <v>44</v>
      </c>
      <c r="C84" t="s">
        <v>45</v>
      </c>
      <c r="D84" s="13" t="s">
        <v>75</v>
      </c>
      <c r="E84" t="s">
        <v>47</v>
      </c>
      <c r="F84" t="s">
        <v>48</v>
      </c>
      <c r="G84" t="s">
        <v>48</v>
      </c>
      <c r="H84" s="9">
        <v>3234000</v>
      </c>
      <c r="I84" s="9">
        <v>3234000</v>
      </c>
      <c r="J84" s="9">
        <f t="shared" si="3"/>
        <v>0</v>
      </c>
      <c r="K84" s="9">
        <v>0</v>
      </c>
      <c r="L84" s="9">
        <v>0</v>
      </c>
      <c r="M84" s="9">
        <f t="shared" si="4"/>
        <v>0</v>
      </c>
      <c r="N84" s="17">
        <v>0</v>
      </c>
      <c r="O84" s="17">
        <v>0</v>
      </c>
      <c r="P84" s="17">
        <f t="shared" si="5"/>
        <v>0</v>
      </c>
      <c r="Q84" t="s">
        <v>49</v>
      </c>
      <c r="R84" t="s">
        <v>49</v>
      </c>
      <c r="S84" s="13" t="s">
        <v>228</v>
      </c>
      <c r="T84" s="13" t="s">
        <v>228</v>
      </c>
      <c r="U84" s="13" t="s">
        <v>63</v>
      </c>
      <c r="V84" s="13" t="s">
        <v>63</v>
      </c>
      <c r="W84" t="s">
        <v>52</v>
      </c>
      <c r="X84" s="15" t="s">
        <v>53</v>
      </c>
    </row>
    <row r="85" spans="1:24" ht="40.5">
      <c r="A85" s="4" t="s">
        <v>229</v>
      </c>
      <c r="B85" t="s">
        <v>44</v>
      </c>
      <c r="C85" t="s">
        <v>45</v>
      </c>
      <c r="D85" s="13" t="s">
        <v>80</v>
      </c>
      <c r="E85" t="s">
        <v>47</v>
      </c>
      <c r="F85" t="s">
        <v>48</v>
      </c>
      <c r="G85" t="s">
        <v>48</v>
      </c>
      <c r="H85" s="9">
        <v>1250000</v>
      </c>
      <c r="I85" s="9">
        <v>1250000</v>
      </c>
      <c r="J85" s="9">
        <f t="shared" si="3"/>
        <v>0</v>
      </c>
      <c r="K85" s="9">
        <v>0</v>
      </c>
      <c r="L85" s="9">
        <v>0</v>
      </c>
      <c r="M85" s="9">
        <f t="shared" si="4"/>
        <v>0</v>
      </c>
      <c r="N85" s="17">
        <v>0</v>
      </c>
      <c r="O85" s="17">
        <v>0</v>
      </c>
      <c r="P85" s="17">
        <f t="shared" si="5"/>
        <v>0</v>
      </c>
      <c r="Q85" t="s">
        <v>49</v>
      </c>
      <c r="R85" t="s">
        <v>49</v>
      </c>
      <c r="S85" s="13" t="s">
        <v>230</v>
      </c>
      <c r="T85" s="13" t="s">
        <v>230</v>
      </c>
      <c r="U85" s="13" t="s">
        <v>63</v>
      </c>
      <c r="V85" s="13" t="s">
        <v>63</v>
      </c>
      <c r="W85" t="s">
        <v>52</v>
      </c>
      <c r="X85" s="15" t="s">
        <v>53</v>
      </c>
    </row>
    <row r="86" spans="1:24" ht="40.5">
      <c r="A86" s="4" t="s">
        <v>231</v>
      </c>
      <c r="B86" t="s">
        <v>44</v>
      </c>
      <c r="C86" t="s">
        <v>45</v>
      </c>
      <c r="D86" s="13" t="s">
        <v>232</v>
      </c>
      <c r="E86" t="s">
        <v>47</v>
      </c>
      <c r="F86" t="s">
        <v>48</v>
      </c>
      <c r="G86" t="s">
        <v>48</v>
      </c>
      <c r="H86" s="9">
        <v>23040000</v>
      </c>
      <c r="I86" s="9">
        <v>23040000</v>
      </c>
      <c r="J86" s="9">
        <f t="shared" si="3"/>
        <v>0</v>
      </c>
      <c r="K86" s="9">
        <v>0</v>
      </c>
      <c r="L86" s="9">
        <v>0</v>
      </c>
      <c r="M86" s="9">
        <f t="shared" si="4"/>
        <v>0</v>
      </c>
      <c r="N86" s="17">
        <v>0</v>
      </c>
      <c r="O86" s="17">
        <v>0</v>
      </c>
      <c r="P86" s="17">
        <f t="shared" si="5"/>
        <v>0</v>
      </c>
      <c r="Q86" t="s">
        <v>49</v>
      </c>
      <c r="R86" t="s">
        <v>49</v>
      </c>
      <c r="S86" s="13" t="s">
        <v>233</v>
      </c>
      <c r="T86" s="13" t="s">
        <v>233</v>
      </c>
      <c r="U86" s="13" t="s">
        <v>63</v>
      </c>
      <c r="V86" s="13" t="s">
        <v>63</v>
      </c>
      <c r="W86" t="s">
        <v>52</v>
      </c>
      <c r="X86" s="15" t="s">
        <v>53</v>
      </c>
    </row>
    <row r="87" spans="1:24" ht="40.5">
      <c r="A87" s="4" t="s">
        <v>234</v>
      </c>
      <c r="B87" t="s">
        <v>44</v>
      </c>
      <c r="C87" t="s">
        <v>45</v>
      </c>
      <c r="D87" s="13" t="s">
        <v>100</v>
      </c>
      <c r="E87" t="s">
        <v>47</v>
      </c>
      <c r="F87" t="s">
        <v>48</v>
      </c>
      <c r="G87" t="s">
        <v>48</v>
      </c>
      <c r="H87" s="9">
        <v>8000000</v>
      </c>
      <c r="I87" s="9">
        <v>8000000</v>
      </c>
      <c r="J87" s="9">
        <f t="shared" si="3"/>
        <v>0</v>
      </c>
      <c r="K87" s="9">
        <v>0</v>
      </c>
      <c r="L87" s="9">
        <v>0</v>
      </c>
      <c r="M87" s="9">
        <f t="shared" si="4"/>
        <v>0</v>
      </c>
      <c r="N87" s="17">
        <v>0</v>
      </c>
      <c r="O87" s="17">
        <v>0</v>
      </c>
      <c r="P87" s="17">
        <f t="shared" si="5"/>
        <v>0</v>
      </c>
      <c r="Q87" t="s">
        <v>49</v>
      </c>
      <c r="R87" t="s">
        <v>49</v>
      </c>
      <c r="S87" s="13" t="s">
        <v>235</v>
      </c>
      <c r="T87" s="13" t="s">
        <v>235</v>
      </c>
      <c r="U87" s="13" t="s">
        <v>63</v>
      </c>
      <c r="V87" s="13" t="s">
        <v>63</v>
      </c>
      <c r="W87" t="s">
        <v>52</v>
      </c>
      <c r="X87" s="15" t="s">
        <v>53</v>
      </c>
    </row>
    <row r="88" spans="1:24" ht="40.5">
      <c r="A88" s="4" t="s">
        <v>236</v>
      </c>
      <c r="B88" t="s">
        <v>44</v>
      </c>
      <c r="C88" t="s">
        <v>45</v>
      </c>
      <c r="D88" s="13" t="s">
        <v>237</v>
      </c>
      <c r="E88" t="s">
        <v>47</v>
      </c>
      <c r="F88" t="s">
        <v>48</v>
      </c>
      <c r="G88" t="s">
        <v>48</v>
      </c>
      <c r="H88" s="9">
        <v>13440000</v>
      </c>
      <c r="I88" s="9">
        <v>13440000</v>
      </c>
      <c r="J88" s="9">
        <f t="shared" si="3"/>
        <v>0</v>
      </c>
      <c r="K88" s="9">
        <v>0</v>
      </c>
      <c r="L88" s="9">
        <v>0</v>
      </c>
      <c r="M88" s="9">
        <f t="shared" si="4"/>
        <v>0</v>
      </c>
      <c r="N88" s="17">
        <v>0</v>
      </c>
      <c r="O88" s="17">
        <v>0</v>
      </c>
      <c r="P88" s="17">
        <f t="shared" si="5"/>
        <v>0</v>
      </c>
      <c r="Q88" t="s">
        <v>49</v>
      </c>
      <c r="R88" t="s">
        <v>49</v>
      </c>
      <c r="S88" s="13" t="s">
        <v>238</v>
      </c>
      <c r="T88" s="13" t="s">
        <v>238</v>
      </c>
      <c r="U88" s="13" t="s">
        <v>63</v>
      </c>
      <c r="V88" s="13" t="s">
        <v>63</v>
      </c>
      <c r="W88" t="s">
        <v>52</v>
      </c>
      <c r="X88" s="15" t="s">
        <v>53</v>
      </c>
    </row>
    <row r="89" spans="1:24" ht="40.5">
      <c r="A89" s="4" t="s">
        <v>239</v>
      </c>
      <c r="B89" t="s">
        <v>44</v>
      </c>
      <c r="C89" t="s">
        <v>45</v>
      </c>
      <c r="D89" s="13" t="s">
        <v>186</v>
      </c>
      <c r="E89" t="s">
        <v>47</v>
      </c>
      <c r="F89" t="s">
        <v>48</v>
      </c>
      <c r="G89" t="s">
        <v>48</v>
      </c>
      <c r="H89" s="9">
        <v>5600000</v>
      </c>
      <c r="I89" s="9">
        <v>5600000</v>
      </c>
      <c r="J89" s="9">
        <f t="shared" si="3"/>
        <v>0</v>
      </c>
      <c r="K89" s="9">
        <v>0</v>
      </c>
      <c r="L89" s="9">
        <v>0</v>
      </c>
      <c r="M89" s="9">
        <f t="shared" si="4"/>
        <v>0</v>
      </c>
      <c r="N89" s="17">
        <v>0</v>
      </c>
      <c r="O89" s="17">
        <v>0</v>
      </c>
      <c r="P89" s="17">
        <f t="shared" si="5"/>
        <v>0</v>
      </c>
      <c r="Q89" t="s">
        <v>49</v>
      </c>
      <c r="R89" t="s">
        <v>49</v>
      </c>
      <c r="S89" s="13" t="s">
        <v>187</v>
      </c>
      <c r="T89" s="13" t="s">
        <v>187</v>
      </c>
      <c r="U89" s="13" t="s">
        <v>63</v>
      </c>
      <c r="V89" s="13" t="s">
        <v>63</v>
      </c>
      <c r="W89" t="s">
        <v>52</v>
      </c>
      <c r="X89" s="15" t="s">
        <v>53</v>
      </c>
    </row>
    <row r="90" spans="1:24" ht="27">
      <c r="A90" s="4" t="s">
        <v>240</v>
      </c>
      <c r="B90" t="s">
        <v>44</v>
      </c>
      <c r="C90" t="s">
        <v>45</v>
      </c>
      <c r="D90" s="13" t="s">
        <v>105</v>
      </c>
      <c r="E90" t="s">
        <v>47</v>
      </c>
      <c r="F90" t="s">
        <v>48</v>
      </c>
      <c r="G90" t="s">
        <v>48</v>
      </c>
      <c r="H90" s="9">
        <v>800000</v>
      </c>
      <c r="I90" s="9">
        <v>800000</v>
      </c>
      <c r="J90" s="9">
        <f t="shared" si="3"/>
        <v>0</v>
      </c>
      <c r="K90" s="9">
        <v>0</v>
      </c>
      <c r="L90" s="9">
        <v>0</v>
      </c>
      <c r="M90" s="9">
        <f t="shared" si="4"/>
        <v>0</v>
      </c>
      <c r="N90" s="17">
        <v>0</v>
      </c>
      <c r="O90" s="17">
        <v>0</v>
      </c>
      <c r="P90" s="17">
        <f t="shared" si="5"/>
        <v>0</v>
      </c>
      <c r="Q90" t="s">
        <v>49</v>
      </c>
      <c r="R90" t="s">
        <v>49</v>
      </c>
      <c r="S90" s="13" t="s">
        <v>241</v>
      </c>
      <c r="T90" s="13" t="s">
        <v>241</v>
      </c>
      <c r="U90" s="13" t="s">
        <v>63</v>
      </c>
      <c r="V90" s="13" t="s">
        <v>63</v>
      </c>
      <c r="W90" t="s">
        <v>52</v>
      </c>
      <c r="X90" s="15" t="s">
        <v>53</v>
      </c>
    </row>
    <row r="91" spans="1:24" ht="27">
      <c r="A91" s="4" t="s">
        <v>242</v>
      </c>
      <c r="B91" t="s">
        <v>44</v>
      </c>
      <c r="C91" t="s">
        <v>45</v>
      </c>
      <c r="D91" s="13" t="s">
        <v>75</v>
      </c>
      <c r="E91" t="s">
        <v>47</v>
      </c>
      <c r="F91" t="s">
        <v>48</v>
      </c>
      <c r="G91" t="s">
        <v>48</v>
      </c>
      <c r="H91" s="9">
        <v>7500000</v>
      </c>
      <c r="I91" s="9">
        <v>7500000</v>
      </c>
      <c r="J91" s="9">
        <f t="shared" si="3"/>
        <v>0</v>
      </c>
      <c r="K91" s="9">
        <v>0</v>
      </c>
      <c r="L91" s="9">
        <v>0</v>
      </c>
      <c r="M91" s="9">
        <f t="shared" si="4"/>
        <v>0</v>
      </c>
      <c r="N91" s="17">
        <v>0</v>
      </c>
      <c r="O91" s="17">
        <v>0</v>
      </c>
      <c r="P91" s="17">
        <f t="shared" si="5"/>
        <v>0</v>
      </c>
      <c r="Q91" t="s">
        <v>49</v>
      </c>
      <c r="R91" t="s">
        <v>49</v>
      </c>
      <c r="S91" s="13" t="s">
        <v>241</v>
      </c>
      <c r="T91" s="13" t="s">
        <v>241</v>
      </c>
      <c r="U91" s="13" t="s">
        <v>63</v>
      </c>
      <c r="V91" s="13" t="s">
        <v>63</v>
      </c>
      <c r="W91" t="s">
        <v>52</v>
      </c>
      <c r="X91" s="15" t="s">
        <v>53</v>
      </c>
    </row>
    <row r="92" spans="1:24" ht="27">
      <c r="A92" s="4" t="s">
        <v>243</v>
      </c>
      <c r="B92" t="s">
        <v>44</v>
      </c>
      <c r="C92" t="s">
        <v>45</v>
      </c>
      <c r="D92" s="13" t="s">
        <v>78</v>
      </c>
      <c r="E92" t="s">
        <v>47</v>
      </c>
      <c r="F92" t="s">
        <v>48</v>
      </c>
      <c r="G92" t="s">
        <v>48</v>
      </c>
      <c r="H92" s="9">
        <v>7500000</v>
      </c>
      <c r="I92" s="9">
        <v>7500000</v>
      </c>
      <c r="J92" s="9">
        <f t="shared" si="3"/>
        <v>0</v>
      </c>
      <c r="K92" s="9">
        <v>0</v>
      </c>
      <c r="L92" s="9">
        <v>0</v>
      </c>
      <c r="M92" s="9">
        <f t="shared" si="4"/>
        <v>0</v>
      </c>
      <c r="N92" s="17">
        <v>0</v>
      </c>
      <c r="O92" s="17">
        <v>0</v>
      </c>
      <c r="P92" s="17">
        <f t="shared" si="5"/>
        <v>0</v>
      </c>
      <c r="Q92" t="s">
        <v>49</v>
      </c>
      <c r="R92" t="s">
        <v>49</v>
      </c>
      <c r="S92" s="13" t="s">
        <v>241</v>
      </c>
      <c r="T92" s="13" t="s">
        <v>241</v>
      </c>
      <c r="U92" s="13" t="s">
        <v>63</v>
      </c>
      <c r="V92" s="13" t="s">
        <v>63</v>
      </c>
      <c r="W92" t="s">
        <v>52</v>
      </c>
      <c r="X92" s="15" t="s">
        <v>53</v>
      </c>
    </row>
    <row r="93" spans="1:24" ht="27">
      <c r="A93" s="4" t="s">
        <v>244</v>
      </c>
      <c r="B93" t="s">
        <v>44</v>
      </c>
      <c r="C93" t="s">
        <v>45</v>
      </c>
      <c r="D93" s="13" t="s">
        <v>46</v>
      </c>
      <c r="E93" t="s">
        <v>47</v>
      </c>
      <c r="F93" t="s">
        <v>48</v>
      </c>
      <c r="G93" t="s">
        <v>48</v>
      </c>
      <c r="H93" s="9">
        <v>3570000</v>
      </c>
      <c r="I93" s="9">
        <v>3570000</v>
      </c>
      <c r="J93" s="9">
        <f t="shared" si="3"/>
        <v>0</v>
      </c>
      <c r="K93" s="9">
        <v>0</v>
      </c>
      <c r="L93" s="9">
        <v>0</v>
      </c>
      <c r="M93" s="9">
        <f t="shared" si="4"/>
        <v>0</v>
      </c>
      <c r="N93" s="17">
        <v>0</v>
      </c>
      <c r="O93" s="17">
        <v>0</v>
      </c>
      <c r="P93" s="17">
        <f t="shared" si="5"/>
        <v>0</v>
      </c>
      <c r="Q93" t="s">
        <v>49</v>
      </c>
      <c r="R93" t="s">
        <v>49</v>
      </c>
      <c r="S93" s="13" t="s">
        <v>241</v>
      </c>
      <c r="T93" s="13" t="s">
        <v>241</v>
      </c>
      <c r="U93" s="13" t="s">
        <v>63</v>
      </c>
      <c r="V93" s="13" t="s">
        <v>63</v>
      </c>
      <c r="W93" t="s">
        <v>52</v>
      </c>
      <c r="X93" s="15" t="s">
        <v>53</v>
      </c>
    </row>
    <row r="94" spans="1:24" ht="27">
      <c r="A94" s="4" t="s">
        <v>245</v>
      </c>
      <c r="B94" t="s">
        <v>44</v>
      </c>
      <c r="C94" t="s">
        <v>45</v>
      </c>
      <c r="D94" s="13" t="s">
        <v>199</v>
      </c>
      <c r="E94" t="s">
        <v>47</v>
      </c>
      <c r="F94" t="s">
        <v>48</v>
      </c>
      <c r="G94" t="s">
        <v>48</v>
      </c>
      <c r="H94" s="9">
        <v>16640000</v>
      </c>
      <c r="I94" s="9">
        <v>16640000</v>
      </c>
      <c r="J94" s="9">
        <f t="shared" si="3"/>
        <v>0</v>
      </c>
      <c r="K94" s="9">
        <v>0</v>
      </c>
      <c r="L94" s="9">
        <v>0</v>
      </c>
      <c r="M94" s="9">
        <f t="shared" si="4"/>
        <v>0</v>
      </c>
      <c r="N94" s="17">
        <v>0</v>
      </c>
      <c r="O94" s="17">
        <v>0</v>
      </c>
      <c r="P94" s="17">
        <f t="shared" si="5"/>
        <v>0</v>
      </c>
      <c r="Q94" t="s">
        <v>49</v>
      </c>
      <c r="R94" t="s">
        <v>49</v>
      </c>
      <c r="S94" s="13" t="s">
        <v>241</v>
      </c>
      <c r="T94" s="13" t="s">
        <v>241</v>
      </c>
      <c r="U94" s="13" t="s">
        <v>63</v>
      </c>
      <c r="V94" s="13" t="s">
        <v>63</v>
      </c>
      <c r="W94" t="s">
        <v>52</v>
      </c>
      <c r="X94" s="15" t="s">
        <v>53</v>
      </c>
    </row>
    <row r="95" spans="1:24" ht="27">
      <c r="A95" s="4" t="s">
        <v>246</v>
      </c>
      <c r="B95" t="s">
        <v>44</v>
      </c>
      <c r="C95" t="s">
        <v>45</v>
      </c>
      <c r="D95" s="13" t="s">
        <v>80</v>
      </c>
      <c r="E95" t="s">
        <v>47</v>
      </c>
      <c r="F95" t="s">
        <v>48</v>
      </c>
      <c r="G95" t="s">
        <v>48</v>
      </c>
      <c r="H95" s="9">
        <v>500000</v>
      </c>
      <c r="I95" s="9">
        <v>500000</v>
      </c>
      <c r="J95" s="9">
        <f t="shared" si="3"/>
        <v>0</v>
      </c>
      <c r="K95" s="9">
        <v>0</v>
      </c>
      <c r="L95" s="9">
        <v>0</v>
      </c>
      <c r="M95" s="9">
        <f t="shared" si="4"/>
        <v>0</v>
      </c>
      <c r="N95" s="17">
        <v>0</v>
      </c>
      <c r="O95" s="17">
        <v>0</v>
      </c>
      <c r="P95" s="17">
        <f t="shared" si="5"/>
        <v>0</v>
      </c>
      <c r="Q95" t="s">
        <v>49</v>
      </c>
      <c r="R95" t="s">
        <v>49</v>
      </c>
      <c r="S95" s="13" t="s">
        <v>241</v>
      </c>
      <c r="T95" s="13" t="s">
        <v>241</v>
      </c>
      <c r="U95" s="13" t="s">
        <v>63</v>
      </c>
      <c r="V95" s="13" t="s">
        <v>63</v>
      </c>
      <c r="W95" t="s">
        <v>52</v>
      </c>
      <c r="X95" s="15" t="s">
        <v>53</v>
      </c>
    </row>
    <row r="96" spans="1:24" ht="40.5">
      <c r="A96" s="4" t="s">
        <v>247</v>
      </c>
      <c r="B96" t="s">
        <v>44</v>
      </c>
      <c r="C96" t="s">
        <v>45</v>
      </c>
      <c r="D96" s="13" t="s">
        <v>100</v>
      </c>
      <c r="E96" t="s">
        <v>47</v>
      </c>
      <c r="F96" t="s">
        <v>48</v>
      </c>
      <c r="G96" t="s">
        <v>48</v>
      </c>
      <c r="H96" s="9">
        <v>3200000</v>
      </c>
      <c r="I96" s="9">
        <v>3200000</v>
      </c>
      <c r="J96" s="9">
        <f t="shared" si="3"/>
        <v>0</v>
      </c>
      <c r="K96" s="9">
        <v>0</v>
      </c>
      <c r="L96" s="9">
        <v>0</v>
      </c>
      <c r="M96" s="9">
        <f t="shared" si="4"/>
        <v>0</v>
      </c>
      <c r="N96" s="17">
        <v>0</v>
      </c>
      <c r="O96" s="17">
        <v>0</v>
      </c>
      <c r="P96" s="17">
        <f t="shared" si="5"/>
        <v>0</v>
      </c>
      <c r="Q96" t="s">
        <v>49</v>
      </c>
      <c r="R96" t="s">
        <v>49</v>
      </c>
      <c r="S96" s="13" t="s">
        <v>248</v>
      </c>
      <c r="T96" s="13" t="s">
        <v>248</v>
      </c>
      <c r="U96" s="13" t="s">
        <v>63</v>
      </c>
      <c r="V96" s="13" t="s">
        <v>63</v>
      </c>
      <c r="W96" t="s">
        <v>52</v>
      </c>
      <c r="X96" s="15" t="s">
        <v>53</v>
      </c>
    </row>
    <row r="97" spans="1:24" ht="27">
      <c r="A97" s="4" t="s">
        <v>249</v>
      </c>
      <c r="B97" t="s">
        <v>44</v>
      </c>
      <c r="C97" t="s">
        <v>45</v>
      </c>
      <c r="D97" s="13" t="s">
        <v>105</v>
      </c>
      <c r="E97" t="s">
        <v>47</v>
      </c>
      <c r="F97" t="s">
        <v>48</v>
      </c>
      <c r="G97" t="s">
        <v>48</v>
      </c>
      <c r="H97" s="9">
        <v>320000</v>
      </c>
      <c r="I97" s="9">
        <v>320000</v>
      </c>
      <c r="J97" s="9">
        <f t="shared" si="3"/>
        <v>0</v>
      </c>
      <c r="K97" s="9">
        <v>0</v>
      </c>
      <c r="L97" s="9">
        <v>0</v>
      </c>
      <c r="M97" s="9">
        <f t="shared" si="4"/>
        <v>0</v>
      </c>
      <c r="N97" s="17">
        <v>0</v>
      </c>
      <c r="O97" s="17">
        <v>0</v>
      </c>
      <c r="P97" s="17">
        <f t="shared" si="5"/>
        <v>0</v>
      </c>
      <c r="Q97" t="s">
        <v>49</v>
      </c>
      <c r="R97" t="s">
        <v>49</v>
      </c>
      <c r="S97" s="13" t="s">
        <v>241</v>
      </c>
      <c r="T97" s="13" t="s">
        <v>241</v>
      </c>
      <c r="U97" s="13" t="s">
        <v>63</v>
      </c>
      <c r="V97" s="13" t="s">
        <v>63</v>
      </c>
      <c r="W97" t="s">
        <v>52</v>
      </c>
      <c r="X97" s="15" t="s">
        <v>53</v>
      </c>
    </row>
    <row r="98" spans="1:24" ht="27">
      <c r="A98" s="4" t="s">
        <v>250</v>
      </c>
      <c r="B98" t="s">
        <v>44</v>
      </c>
      <c r="C98" t="s">
        <v>45</v>
      </c>
      <c r="D98" s="13" t="s">
        <v>208</v>
      </c>
      <c r="E98" t="s">
        <v>47</v>
      </c>
      <c r="F98" t="s">
        <v>48</v>
      </c>
      <c r="G98" t="s">
        <v>48</v>
      </c>
      <c r="H98" s="9">
        <v>4800000</v>
      </c>
      <c r="I98" s="9">
        <v>4800000</v>
      </c>
      <c r="J98" s="9">
        <f t="shared" si="3"/>
        <v>0</v>
      </c>
      <c r="K98" s="9">
        <v>0</v>
      </c>
      <c r="L98" s="9">
        <v>0</v>
      </c>
      <c r="M98" s="9">
        <f t="shared" si="4"/>
        <v>0</v>
      </c>
      <c r="N98" s="17">
        <v>0</v>
      </c>
      <c r="O98" s="17">
        <v>0</v>
      </c>
      <c r="P98" s="17">
        <f t="shared" si="5"/>
        <v>0</v>
      </c>
      <c r="Q98" t="s">
        <v>49</v>
      </c>
      <c r="R98" t="s">
        <v>49</v>
      </c>
      <c r="S98" s="13" t="s">
        <v>241</v>
      </c>
      <c r="T98" s="13" t="s">
        <v>241</v>
      </c>
      <c r="U98" s="13" t="s">
        <v>63</v>
      </c>
      <c r="V98" s="13" t="s">
        <v>63</v>
      </c>
      <c r="W98" t="s">
        <v>52</v>
      </c>
      <c r="X98" s="15" t="s">
        <v>53</v>
      </c>
    </row>
    <row r="99" spans="1:24" ht="40.5">
      <c r="A99" s="4" t="s">
        <v>251</v>
      </c>
      <c r="B99" t="s">
        <v>44</v>
      </c>
      <c r="C99" t="s">
        <v>45</v>
      </c>
      <c r="D99" s="13" t="s">
        <v>252</v>
      </c>
      <c r="E99" t="s">
        <v>47</v>
      </c>
      <c r="F99" t="s">
        <v>48</v>
      </c>
      <c r="G99" t="s">
        <v>48</v>
      </c>
      <c r="H99" s="9">
        <v>79344000</v>
      </c>
      <c r="I99" s="9">
        <v>79344000</v>
      </c>
      <c r="J99" s="9">
        <f t="shared" si="3"/>
        <v>0</v>
      </c>
      <c r="K99" s="9">
        <v>0</v>
      </c>
      <c r="L99" s="9">
        <v>0</v>
      </c>
      <c r="M99" s="9">
        <f t="shared" si="4"/>
        <v>0</v>
      </c>
      <c r="N99" s="17">
        <v>0</v>
      </c>
      <c r="O99" s="17">
        <v>0</v>
      </c>
      <c r="P99" s="17">
        <f t="shared" si="5"/>
        <v>0</v>
      </c>
      <c r="Q99" t="s">
        <v>49</v>
      </c>
      <c r="R99" t="s">
        <v>49</v>
      </c>
      <c r="S99" s="13" t="s">
        <v>253</v>
      </c>
      <c r="T99" s="13" t="s">
        <v>253</v>
      </c>
      <c r="U99" s="13" t="s">
        <v>254</v>
      </c>
      <c r="V99" s="13" t="s">
        <v>254</v>
      </c>
      <c r="W99" t="s">
        <v>52</v>
      </c>
      <c r="X99" s="15" t="s">
        <v>53</v>
      </c>
    </row>
    <row r="100" spans="1:24" ht="27">
      <c r="A100" s="4" t="s">
        <v>255</v>
      </c>
      <c r="B100" t="s">
        <v>44</v>
      </c>
      <c r="C100" t="s">
        <v>45</v>
      </c>
      <c r="D100" s="13" t="s">
        <v>75</v>
      </c>
      <c r="E100" t="s">
        <v>47</v>
      </c>
      <c r="F100" t="s">
        <v>48</v>
      </c>
      <c r="G100" t="s">
        <v>48</v>
      </c>
      <c r="H100" s="9">
        <v>2000000</v>
      </c>
      <c r="I100" s="9">
        <v>2000000</v>
      </c>
      <c r="J100" s="9">
        <f t="shared" si="3"/>
        <v>0</v>
      </c>
      <c r="K100" s="9">
        <v>0</v>
      </c>
      <c r="L100" s="9">
        <v>0</v>
      </c>
      <c r="M100" s="9">
        <f t="shared" si="4"/>
        <v>0</v>
      </c>
      <c r="N100" s="17">
        <v>0</v>
      </c>
      <c r="O100" s="17">
        <v>0</v>
      </c>
      <c r="P100" s="17">
        <f t="shared" si="5"/>
        <v>0</v>
      </c>
      <c r="Q100" t="s">
        <v>49</v>
      </c>
      <c r="R100" t="s">
        <v>49</v>
      </c>
      <c r="S100" s="13" t="s">
        <v>241</v>
      </c>
      <c r="T100" s="13" t="s">
        <v>241</v>
      </c>
      <c r="U100" s="13" t="s">
        <v>63</v>
      </c>
      <c r="V100" s="13" t="s">
        <v>63</v>
      </c>
      <c r="W100" t="s">
        <v>52</v>
      </c>
      <c r="X100" s="15" t="s">
        <v>53</v>
      </c>
    </row>
    <row r="101" spans="1:24" ht="27">
      <c r="A101" s="4" t="s">
        <v>256</v>
      </c>
      <c r="B101" t="s">
        <v>44</v>
      </c>
      <c r="C101" t="s">
        <v>45</v>
      </c>
      <c r="D101" s="13" t="s">
        <v>78</v>
      </c>
      <c r="E101" t="s">
        <v>47</v>
      </c>
      <c r="F101" t="s">
        <v>48</v>
      </c>
      <c r="G101" t="s">
        <v>48</v>
      </c>
      <c r="H101" s="9">
        <v>2000000</v>
      </c>
      <c r="I101" s="9">
        <v>2000000</v>
      </c>
      <c r="J101" s="9">
        <f t="shared" si="3"/>
        <v>0</v>
      </c>
      <c r="K101" s="9">
        <v>0</v>
      </c>
      <c r="L101" s="9">
        <v>0</v>
      </c>
      <c r="M101" s="9">
        <f t="shared" si="4"/>
        <v>0</v>
      </c>
      <c r="N101" s="17">
        <v>0</v>
      </c>
      <c r="O101" s="17">
        <v>0</v>
      </c>
      <c r="P101" s="17">
        <f t="shared" si="5"/>
        <v>0</v>
      </c>
      <c r="Q101" t="s">
        <v>49</v>
      </c>
      <c r="R101" t="s">
        <v>49</v>
      </c>
      <c r="S101" s="13" t="s">
        <v>241</v>
      </c>
      <c r="T101" s="13" t="s">
        <v>241</v>
      </c>
      <c r="U101" s="13" t="s">
        <v>63</v>
      </c>
      <c r="V101" s="13" t="s">
        <v>63</v>
      </c>
      <c r="W101" t="s">
        <v>52</v>
      </c>
      <c r="X101" s="15" t="s">
        <v>53</v>
      </c>
    </row>
    <row r="102" spans="1:24" ht="27">
      <c r="A102" s="4" t="s">
        <v>257</v>
      </c>
      <c r="B102" t="s">
        <v>44</v>
      </c>
      <c r="C102" t="s">
        <v>45</v>
      </c>
      <c r="D102" s="13" t="s">
        <v>46</v>
      </c>
      <c r="E102" t="s">
        <v>47</v>
      </c>
      <c r="F102" t="s">
        <v>48</v>
      </c>
      <c r="G102" t="s">
        <v>48</v>
      </c>
      <c r="H102" s="9">
        <v>500000</v>
      </c>
      <c r="I102" s="9">
        <v>500000</v>
      </c>
      <c r="J102" s="9">
        <f t="shared" si="3"/>
        <v>0</v>
      </c>
      <c r="K102" s="9">
        <v>0</v>
      </c>
      <c r="L102" s="9">
        <v>0</v>
      </c>
      <c r="M102" s="9">
        <f t="shared" si="4"/>
        <v>0</v>
      </c>
      <c r="N102" s="17">
        <v>0</v>
      </c>
      <c r="O102" s="17">
        <v>0</v>
      </c>
      <c r="P102" s="17">
        <f t="shared" si="5"/>
        <v>0</v>
      </c>
      <c r="Q102" t="s">
        <v>49</v>
      </c>
      <c r="R102" t="s">
        <v>49</v>
      </c>
      <c r="S102" s="13" t="s">
        <v>241</v>
      </c>
      <c r="T102" s="13" t="s">
        <v>241</v>
      </c>
      <c r="U102" s="13" t="s">
        <v>63</v>
      </c>
      <c r="V102" s="13" t="s">
        <v>63</v>
      </c>
      <c r="W102" t="s">
        <v>52</v>
      </c>
      <c r="X102" s="15" t="s">
        <v>53</v>
      </c>
    </row>
    <row r="103" spans="1:24" ht="27">
      <c r="A103" s="4" t="s">
        <v>258</v>
      </c>
      <c r="B103" t="s">
        <v>44</v>
      </c>
      <c r="C103" t="s">
        <v>45</v>
      </c>
      <c r="D103" s="13" t="s">
        <v>59</v>
      </c>
      <c r="E103" t="s">
        <v>47</v>
      </c>
      <c r="F103" t="s">
        <v>48</v>
      </c>
      <c r="G103" t="s">
        <v>48</v>
      </c>
      <c r="H103" s="9">
        <v>54120000</v>
      </c>
      <c r="I103" s="9">
        <v>54120000</v>
      </c>
      <c r="J103" s="9">
        <f t="shared" si="3"/>
        <v>0</v>
      </c>
      <c r="K103" s="9">
        <v>0</v>
      </c>
      <c r="L103" s="9">
        <v>0</v>
      </c>
      <c r="M103" s="9">
        <f t="shared" si="4"/>
        <v>0</v>
      </c>
      <c r="N103" s="17">
        <v>0</v>
      </c>
      <c r="O103" s="17">
        <v>0</v>
      </c>
      <c r="P103" s="17">
        <f t="shared" si="5"/>
        <v>0</v>
      </c>
      <c r="Q103" t="s">
        <v>49</v>
      </c>
      <c r="R103" t="s">
        <v>49</v>
      </c>
      <c r="S103" s="13" t="s">
        <v>259</v>
      </c>
      <c r="T103" s="13" t="s">
        <v>259</v>
      </c>
      <c r="U103" s="13" t="s">
        <v>260</v>
      </c>
      <c r="V103" s="13" t="s">
        <v>260</v>
      </c>
      <c r="W103" t="s">
        <v>52</v>
      </c>
      <c r="X103" s="15" t="s">
        <v>53</v>
      </c>
    </row>
    <row r="104" spans="1:24" ht="27">
      <c r="A104" s="4" t="s">
        <v>261</v>
      </c>
      <c r="B104" t="s">
        <v>44</v>
      </c>
      <c r="C104" t="s">
        <v>45</v>
      </c>
      <c r="D104" s="13" t="s">
        <v>55</v>
      </c>
      <c r="E104" t="s">
        <v>47</v>
      </c>
      <c r="F104" t="s">
        <v>48</v>
      </c>
      <c r="G104" t="s">
        <v>48</v>
      </c>
      <c r="H104" s="9">
        <v>108240000</v>
      </c>
      <c r="I104" s="9">
        <v>108240000</v>
      </c>
      <c r="J104" s="9">
        <f t="shared" si="3"/>
        <v>0</v>
      </c>
      <c r="K104" s="9">
        <v>0</v>
      </c>
      <c r="L104" s="9">
        <v>0</v>
      </c>
      <c r="M104" s="9">
        <f t="shared" si="4"/>
        <v>0</v>
      </c>
      <c r="N104" s="17">
        <v>0</v>
      </c>
      <c r="O104" s="17">
        <v>0</v>
      </c>
      <c r="P104" s="17">
        <f t="shared" si="5"/>
        <v>0</v>
      </c>
      <c r="Q104" t="s">
        <v>49</v>
      </c>
      <c r="R104" t="s">
        <v>49</v>
      </c>
      <c r="S104" s="13" t="s">
        <v>259</v>
      </c>
      <c r="T104" s="13" t="s">
        <v>259</v>
      </c>
      <c r="U104" s="13" t="s">
        <v>260</v>
      </c>
      <c r="V104" s="13" t="s">
        <v>260</v>
      </c>
      <c r="W104" t="s">
        <v>52</v>
      </c>
      <c r="X104" s="15" t="s">
        <v>53</v>
      </c>
    </row>
    <row r="105" spans="1:24" ht="40.5">
      <c r="A105" s="4" t="s">
        <v>262</v>
      </c>
      <c r="B105" t="s">
        <v>44</v>
      </c>
      <c r="C105" t="s">
        <v>45</v>
      </c>
      <c r="D105" s="13" t="s">
        <v>263</v>
      </c>
      <c r="E105" t="s">
        <v>47</v>
      </c>
      <c r="F105" t="s">
        <v>48</v>
      </c>
      <c r="G105" t="s">
        <v>48</v>
      </c>
      <c r="H105" s="9">
        <v>5396000</v>
      </c>
      <c r="I105" s="9">
        <v>5396000</v>
      </c>
      <c r="J105" s="9">
        <f t="shared" si="3"/>
        <v>0</v>
      </c>
      <c r="K105" s="9">
        <v>0</v>
      </c>
      <c r="L105" s="9">
        <v>0</v>
      </c>
      <c r="M105" s="9">
        <f t="shared" si="4"/>
        <v>0</v>
      </c>
      <c r="N105" s="17">
        <v>0</v>
      </c>
      <c r="O105" s="17">
        <v>0</v>
      </c>
      <c r="P105" s="17">
        <f t="shared" si="5"/>
        <v>0</v>
      </c>
      <c r="Q105" t="s">
        <v>49</v>
      </c>
      <c r="R105" t="s">
        <v>49</v>
      </c>
      <c r="S105" s="13" t="s">
        <v>264</v>
      </c>
      <c r="T105" s="13" t="s">
        <v>264</v>
      </c>
      <c r="U105" s="13" t="s">
        <v>265</v>
      </c>
      <c r="V105" s="13" t="s">
        <v>265</v>
      </c>
      <c r="W105" t="s">
        <v>52</v>
      </c>
      <c r="X105" s="15" t="s">
        <v>53</v>
      </c>
    </row>
    <row r="106" spans="1:24" ht="27">
      <c r="A106" s="4" t="s">
        <v>266</v>
      </c>
      <c r="B106" t="s">
        <v>44</v>
      </c>
      <c r="C106" t="s">
        <v>45</v>
      </c>
      <c r="D106" s="13" t="s">
        <v>267</v>
      </c>
      <c r="E106" t="s">
        <v>56</v>
      </c>
      <c r="F106" t="s">
        <v>48</v>
      </c>
      <c r="G106" t="s">
        <v>48</v>
      </c>
      <c r="H106" s="9">
        <v>12000000</v>
      </c>
      <c r="I106" s="9">
        <v>12000000</v>
      </c>
      <c r="J106" s="9">
        <f t="shared" si="3"/>
        <v>0</v>
      </c>
      <c r="K106" s="9">
        <v>0</v>
      </c>
      <c r="L106" s="9">
        <v>0</v>
      </c>
      <c r="M106" s="9">
        <f t="shared" si="4"/>
        <v>0</v>
      </c>
      <c r="N106" s="17">
        <v>0</v>
      </c>
      <c r="O106" s="17">
        <v>0</v>
      </c>
      <c r="P106" s="17">
        <f t="shared" si="5"/>
        <v>0</v>
      </c>
      <c r="Q106" t="s">
        <v>49</v>
      </c>
      <c r="R106" t="s">
        <v>49</v>
      </c>
      <c r="S106" s="13" t="s">
        <v>268</v>
      </c>
      <c r="T106" s="13" t="s">
        <v>268</v>
      </c>
      <c r="U106" s="13" t="s">
        <v>265</v>
      </c>
      <c r="V106" s="13" t="s">
        <v>265</v>
      </c>
      <c r="W106" t="s">
        <v>52</v>
      </c>
      <c r="X106" s="15" t="s">
        <v>53</v>
      </c>
    </row>
    <row r="107" spans="1:24" ht="40.5">
      <c r="A107" s="4" t="s">
        <v>269</v>
      </c>
      <c r="B107" t="s">
        <v>44</v>
      </c>
      <c r="C107" t="s">
        <v>45</v>
      </c>
      <c r="D107" s="13" t="s">
        <v>270</v>
      </c>
      <c r="E107" t="s">
        <v>47</v>
      </c>
      <c r="F107" t="s">
        <v>48</v>
      </c>
      <c r="G107" t="s">
        <v>48</v>
      </c>
      <c r="H107" s="9">
        <v>12000000</v>
      </c>
      <c r="I107" s="9">
        <v>12000000</v>
      </c>
      <c r="J107" s="9">
        <f t="shared" si="3"/>
        <v>0</v>
      </c>
      <c r="K107" s="9">
        <v>0</v>
      </c>
      <c r="L107" s="9">
        <v>0</v>
      </c>
      <c r="M107" s="9">
        <f t="shared" si="4"/>
        <v>0</v>
      </c>
      <c r="N107" s="17">
        <v>0</v>
      </c>
      <c r="O107" s="17">
        <v>0</v>
      </c>
      <c r="P107" s="17">
        <f t="shared" si="5"/>
        <v>0</v>
      </c>
      <c r="Q107" t="s">
        <v>49</v>
      </c>
      <c r="R107" t="s">
        <v>49</v>
      </c>
      <c r="S107" s="13" t="s">
        <v>271</v>
      </c>
      <c r="T107" s="13" t="s">
        <v>271</v>
      </c>
      <c r="U107" s="13" t="s">
        <v>265</v>
      </c>
      <c r="V107" s="13" t="s">
        <v>265</v>
      </c>
      <c r="W107" t="s">
        <v>52</v>
      </c>
      <c r="X107" s="15" t="s">
        <v>53</v>
      </c>
    </row>
    <row r="108" spans="1:24" ht="40.5">
      <c r="A108" s="4" t="s">
        <v>272</v>
      </c>
      <c r="B108" t="s">
        <v>44</v>
      </c>
      <c r="C108" t="s">
        <v>45</v>
      </c>
      <c r="D108" s="13" t="s">
        <v>273</v>
      </c>
      <c r="E108" t="s">
        <v>47</v>
      </c>
      <c r="F108" t="s">
        <v>48</v>
      </c>
      <c r="G108" t="s">
        <v>48</v>
      </c>
      <c r="H108" s="9">
        <v>12000000</v>
      </c>
      <c r="I108" s="9">
        <v>12000000</v>
      </c>
      <c r="J108" s="9">
        <f t="shared" si="3"/>
        <v>0</v>
      </c>
      <c r="K108" s="9">
        <v>0</v>
      </c>
      <c r="L108" s="9">
        <v>0</v>
      </c>
      <c r="M108" s="9">
        <f t="shared" si="4"/>
        <v>0</v>
      </c>
      <c r="N108" s="17">
        <v>0</v>
      </c>
      <c r="O108" s="17">
        <v>0</v>
      </c>
      <c r="P108" s="17">
        <f t="shared" si="5"/>
        <v>0</v>
      </c>
      <c r="Q108" t="s">
        <v>49</v>
      </c>
      <c r="R108" t="s">
        <v>49</v>
      </c>
      <c r="S108" s="13" t="s">
        <v>274</v>
      </c>
      <c r="T108" s="13" t="s">
        <v>274</v>
      </c>
      <c r="U108" s="13" t="s">
        <v>265</v>
      </c>
      <c r="V108" s="13" t="s">
        <v>265</v>
      </c>
      <c r="W108" t="s">
        <v>52</v>
      </c>
      <c r="X108" s="15" t="s">
        <v>53</v>
      </c>
    </row>
    <row r="109" spans="1:24" ht="40.5">
      <c r="A109" s="4" t="s">
        <v>275</v>
      </c>
      <c r="B109" t="s">
        <v>44</v>
      </c>
      <c r="C109" t="s">
        <v>45</v>
      </c>
      <c r="D109" s="13" t="s">
        <v>276</v>
      </c>
      <c r="E109" t="s">
        <v>47</v>
      </c>
      <c r="F109" t="s">
        <v>48</v>
      </c>
      <c r="G109" t="s">
        <v>48</v>
      </c>
      <c r="H109" s="9">
        <v>11250000</v>
      </c>
      <c r="I109" s="9">
        <v>11250000</v>
      </c>
      <c r="J109" s="9">
        <f t="shared" si="3"/>
        <v>0</v>
      </c>
      <c r="K109" s="9">
        <v>0</v>
      </c>
      <c r="L109" s="9">
        <v>0</v>
      </c>
      <c r="M109" s="9">
        <f t="shared" si="4"/>
        <v>0</v>
      </c>
      <c r="N109" s="17">
        <v>0</v>
      </c>
      <c r="O109" s="17">
        <v>0</v>
      </c>
      <c r="P109" s="17">
        <f t="shared" si="5"/>
        <v>0</v>
      </c>
      <c r="Q109" t="s">
        <v>49</v>
      </c>
      <c r="R109" t="s">
        <v>49</v>
      </c>
      <c r="S109" s="13" t="s">
        <v>277</v>
      </c>
      <c r="T109" s="13" t="s">
        <v>277</v>
      </c>
      <c r="U109" s="13" t="s">
        <v>265</v>
      </c>
      <c r="V109" s="13" t="s">
        <v>265</v>
      </c>
      <c r="W109" t="s">
        <v>52</v>
      </c>
      <c r="X109" s="15" t="s">
        <v>53</v>
      </c>
    </row>
    <row r="110" spans="1:24" ht="40.5">
      <c r="A110" s="4" t="s">
        <v>278</v>
      </c>
      <c r="B110" t="s">
        <v>44</v>
      </c>
      <c r="C110" t="s">
        <v>45</v>
      </c>
      <c r="D110" s="13" t="s">
        <v>279</v>
      </c>
      <c r="E110" t="s">
        <v>47</v>
      </c>
      <c r="F110" t="s">
        <v>48</v>
      </c>
      <c r="G110" t="s">
        <v>48</v>
      </c>
      <c r="H110" s="9">
        <v>4500000</v>
      </c>
      <c r="I110" s="9">
        <v>4500000</v>
      </c>
      <c r="J110" s="9">
        <f t="shared" si="3"/>
        <v>0</v>
      </c>
      <c r="K110" s="9">
        <v>0</v>
      </c>
      <c r="L110" s="9">
        <v>0</v>
      </c>
      <c r="M110" s="9">
        <f t="shared" si="4"/>
        <v>0</v>
      </c>
      <c r="N110" s="17">
        <v>0</v>
      </c>
      <c r="O110" s="17">
        <v>0</v>
      </c>
      <c r="P110" s="17">
        <f t="shared" si="5"/>
        <v>0</v>
      </c>
      <c r="Q110" t="s">
        <v>49</v>
      </c>
      <c r="R110" t="s">
        <v>49</v>
      </c>
      <c r="S110" s="13" t="s">
        <v>280</v>
      </c>
      <c r="T110" s="13" t="s">
        <v>280</v>
      </c>
      <c r="U110" s="13" t="s">
        <v>265</v>
      </c>
      <c r="V110" s="13" t="s">
        <v>265</v>
      </c>
      <c r="W110" t="s">
        <v>52</v>
      </c>
      <c r="X110" s="15" t="s">
        <v>53</v>
      </c>
    </row>
    <row r="111" spans="1:24" ht="40.5">
      <c r="A111" s="4" t="s">
        <v>281</v>
      </c>
      <c r="B111" t="s">
        <v>44</v>
      </c>
      <c r="C111" t="s">
        <v>45</v>
      </c>
      <c r="D111" s="13" t="s">
        <v>282</v>
      </c>
      <c r="E111" t="s">
        <v>47</v>
      </c>
      <c r="F111" t="s">
        <v>48</v>
      </c>
      <c r="G111" t="s">
        <v>48</v>
      </c>
      <c r="H111" s="9">
        <v>4500000</v>
      </c>
      <c r="I111" s="9">
        <v>4500000</v>
      </c>
      <c r="J111" s="9">
        <f t="shared" si="3"/>
        <v>0</v>
      </c>
      <c r="K111" s="9">
        <v>0</v>
      </c>
      <c r="L111" s="9">
        <v>0</v>
      </c>
      <c r="M111" s="9">
        <f t="shared" si="4"/>
        <v>0</v>
      </c>
      <c r="N111" s="17">
        <v>0</v>
      </c>
      <c r="O111" s="17">
        <v>0</v>
      </c>
      <c r="P111" s="17">
        <f t="shared" si="5"/>
        <v>0</v>
      </c>
      <c r="Q111" t="s">
        <v>49</v>
      </c>
      <c r="R111" t="s">
        <v>49</v>
      </c>
      <c r="S111" s="13" t="s">
        <v>280</v>
      </c>
      <c r="T111" s="13" t="s">
        <v>280</v>
      </c>
      <c r="U111" s="13" t="s">
        <v>265</v>
      </c>
      <c r="V111" s="13" t="s">
        <v>265</v>
      </c>
      <c r="W111" t="s">
        <v>52</v>
      </c>
      <c r="X111" s="15" t="s">
        <v>53</v>
      </c>
    </row>
    <row r="112" spans="1:24" ht="40.5">
      <c r="A112" s="4" t="s">
        <v>283</v>
      </c>
      <c r="B112" t="s">
        <v>44</v>
      </c>
      <c r="C112" t="s">
        <v>45</v>
      </c>
      <c r="D112" s="13" t="s">
        <v>284</v>
      </c>
      <c r="E112" t="s">
        <v>47</v>
      </c>
      <c r="F112" t="s">
        <v>48</v>
      </c>
      <c r="G112" t="s">
        <v>48</v>
      </c>
      <c r="H112" s="9">
        <v>4500000</v>
      </c>
      <c r="I112" s="9">
        <v>4500000</v>
      </c>
      <c r="J112" s="9">
        <f t="shared" si="3"/>
        <v>0</v>
      </c>
      <c r="K112" s="9">
        <v>0</v>
      </c>
      <c r="L112" s="9">
        <v>0</v>
      </c>
      <c r="M112" s="9">
        <f t="shared" si="4"/>
        <v>0</v>
      </c>
      <c r="N112" s="17">
        <v>0</v>
      </c>
      <c r="O112" s="17">
        <v>0</v>
      </c>
      <c r="P112" s="17">
        <f t="shared" si="5"/>
        <v>0</v>
      </c>
      <c r="Q112" t="s">
        <v>49</v>
      </c>
      <c r="R112" t="s">
        <v>49</v>
      </c>
      <c r="S112" s="13" t="s">
        <v>280</v>
      </c>
      <c r="T112" s="13" t="s">
        <v>280</v>
      </c>
      <c r="U112" s="13" t="s">
        <v>265</v>
      </c>
      <c r="V112" s="13" t="s">
        <v>265</v>
      </c>
      <c r="W112" t="s">
        <v>52</v>
      </c>
      <c r="X112" s="15" t="s">
        <v>53</v>
      </c>
    </row>
    <row r="113" spans="1:24" ht="40.5">
      <c r="A113" s="4" t="s">
        <v>285</v>
      </c>
      <c r="B113" t="s">
        <v>44</v>
      </c>
      <c r="C113" t="s">
        <v>45</v>
      </c>
      <c r="D113" s="13" t="s">
        <v>286</v>
      </c>
      <c r="E113" t="s">
        <v>47</v>
      </c>
      <c r="F113" t="s">
        <v>48</v>
      </c>
      <c r="G113" t="s">
        <v>48</v>
      </c>
      <c r="H113" s="9">
        <v>2000000</v>
      </c>
      <c r="I113" s="9">
        <v>2000000</v>
      </c>
      <c r="J113" s="9">
        <f t="shared" si="3"/>
        <v>0</v>
      </c>
      <c r="K113" s="9">
        <v>0</v>
      </c>
      <c r="L113" s="9">
        <v>0</v>
      </c>
      <c r="M113" s="9">
        <f t="shared" si="4"/>
        <v>0</v>
      </c>
      <c r="N113" s="17">
        <v>0</v>
      </c>
      <c r="O113" s="17">
        <v>0</v>
      </c>
      <c r="P113" s="17">
        <f t="shared" si="5"/>
        <v>0</v>
      </c>
      <c r="Q113" t="s">
        <v>49</v>
      </c>
      <c r="R113" t="s">
        <v>49</v>
      </c>
      <c r="S113" s="13" t="s">
        <v>287</v>
      </c>
      <c r="T113" s="13" t="s">
        <v>287</v>
      </c>
      <c r="U113" s="13" t="s">
        <v>265</v>
      </c>
      <c r="V113" s="13" t="s">
        <v>265</v>
      </c>
      <c r="W113" t="s">
        <v>52</v>
      </c>
      <c r="X113" s="15" t="s">
        <v>53</v>
      </c>
    </row>
    <row r="114" spans="1:24" ht="40.5">
      <c r="A114" s="4" t="s">
        <v>288</v>
      </c>
      <c r="B114" t="s">
        <v>44</v>
      </c>
      <c r="C114" t="s">
        <v>45</v>
      </c>
      <c r="D114" s="13" t="s">
        <v>289</v>
      </c>
      <c r="E114" t="s">
        <v>47</v>
      </c>
      <c r="F114" t="s">
        <v>84</v>
      </c>
      <c r="G114" t="s">
        <v>48</v>
      </c>
      <c r="H114" s="9">
        <v>74000000</v>
      </c>
      <c r="I114" s="9">
        <v>74000000</v>
      </c>
      <c r="J114" s="9">
        <f t="shared" si="3"/>
        <v>0</v>
      </c>
      <c r="K114" s="9">
        <v>73546380</v>
      </c>
      <c r="L114" s="9">
        <v>0</v>
      </c>
      <c r="M114" s="9">
        <f t="shared" si="4"/>
        <v>-73546380</v>
      </c>
      <c r="N114" s="17">
        <v>0.99</v>
      </c>
      <c r="O114" s="17">
        <v>0</v>
      </c>
      <c r="P114" s="17">
        <f t="shared" si="5"/>
        <v>-0.99</v>
      </c>
      <c r="Q114" t="s">
        <v>49</v>
      </c>
      <c r="R114" t="s">
        <v>49</v>
      </c>
      <c r="S114" s="13" t="s">
        <v>290</v>
      </c>
      <c r="T114" s="13" t="s">
        <v>290</v>
      </c>
      <c r="U114" s="13" t="s">
        <v>291</v>
      </c>
      <c r="V114" s="13" t="s">
        <v>291</v>
      </c>
      <c r="W114" t="s">
        <v>64</v>
      </c>
      <c r="X114" s="15" t="s">
        <v>292</v>
      </c>
    </row>
    <row r="115" spans="1:24" ht="40.5">
      <c r="A115" s="4" t="s">
        <v>293</v>
      </c>
      <c r="B115" t="s">
        <v>44</v>
      </c>
      <c r="C115" t="s">
        <v>45</v>
      </c>
      <c r="D115" s="13" t="s">
        <v>294</v>
      </c>
      <c r="E115" t="s">
        <v>47</v>
      </c>
      <c r="F115" t="s">
        <v>48</v>
      </c>
      <c r="G115" t="s">
        <v>48</v>
      </c>
      <c r="H115" s="9">
        <v>3500000</v>
      </c>
      <c r="I115" s="9">
        <v>3500000</v>
      </c>
      <c r="J115" s="9">
        <f t="shared" si="3"/>
        <v>0</v>
      </c>
      <c r="K115" s="9">
        <v>0</v>
      </c>
      <c r="L115" s="9">
        <v>0</v>
      </c>
      <c r="M115" s="9">
        <f t="shared" si="4"/>
        <v>0</v>
      </c>
      <c r="N115" s="17">
        <v>0</v>
      </c>
      <c r="O115" s="17">
        <v>0</v>
      </c>
      <c r="P115" s="17">
        <f t="shared" si="5"/>
        <v>0</v>
      </c>
      <c r="Q115" t="s">
        <v>49</v>
      </c>
      <c r="R115" t="s">
        <v>49</v>
      </c>
      <c r="S115" s="13" t="s">
        <v>295</v>
      </c>
      <c r="T115" s="13" t="s">
        <v>295</v>
      </c>
      <c r="U115" s="13" t="s">
        <v>291</v>
      </c>
      <c r="V115" s="13" t="s">
        <v>291</v>
      </c>
      <c r="W115" t="s">
        <v>52</v>
      </c>
      <c r="X115" s="15" t="s">
        <v>53</v>
      </c>
    </row>
    <row r="116" spans="1:24" ht="40.5">
      <c r="A116" s="4" t="s">
        <v>296</v>
      </c>
      <c r="B116" t="s">
        <v>44</v>
      </c>
      <c r="C116" t="s">
        <v>45</v>
      </c>
      <c r="D116" s="13" t="s">
        <v>297</v>
      </c>
      <c r="E116" t="s">
        <v>47</v>
      </c>
      <c r="F116" t="s">
        <v>48</v>
      </c>
      <c r="G116" t="s">
        <v>48</v>
      </c>
      <c r="H116" s="9">
        <v>190000</v>
      </c>
      <c r="I116" s="9">
        <v>190000</v>
      </c>
      <c r="J116" s="9">
        <f t="shared" si="3"/>
        <v>0</v>
      </c>
      <c r="K116" s="9">
        <v>0</v>
      </c>
      <c r="L116" s="9">
        <v>0</v>
      </c>
      <c r="M116" s="9">
        <f t="shared" si="4"/>
        <v>0</v>
      </c>
      <c r="N116" s="17">
        <v>0</v>
      </c>
      <c r="O116" s="17">
        <v>0</v>
      </c>
      <c r="P116" s="17">
        <f t="shared" si="5"/>
        <v>0</v>
      </c>
      <c r="Q116" t="s">
        <v>49</v>
      </c>
      <c r="R116" t="s">
        <v>49</v>
      </c>
      <c r="S116" s="13" t="s">
        <v>298</v>
      </c>
      <c r="T116" s="13" t="s">
        <v>298</v>
      </c>
      <c r="U116" s="13" t="s">
        <v>291</v>
      </c>
      <c r="V116" s="13" t="s">
        <v>291</v>
      </c>
      <c r="W116" t="s">
        <v>52</v>
      </c>
      <c r="X116" s="15" t="s">
        <v>53</v>
      </c>
    </row>
    <row r="117" spans="1:24" ht="40.5">
      <c r="A117" s="4" t="s">
        <v>299</v>
      </c>
      <c r="B117" t="s">
        <v>44</v>
      </c>
      <c r="C117" t="s">
        <v>45</v>
      </c>
      <c r="D117" s="13" t="s">
        <v>300</v>
      </c>
      <c r="E117" t="s">
        <v>47</v>
      </c>
      <c r="F117" t="s">
        <v>48</v>
      </c>
      <c r="G117" t="s">
        <v>48</v>
      </c>
      <c r="H117" s="9">
        <v>50000000</v>
      </c>
      <c r="I117" s="9">
        <v>50000000</v>
      </c>
      <c r="J117" s="9">
        <f t="shared" si="3"/>
        <v>0</v>
      </c>
      <c r="K117" s="9">
        <v>0</v>
      </c>
      <c r="L117" s="9">
        <v>0</v>
      </c>
      <c r="M117" s="9">
        <f t="shared" si="4"/>
        <v>0</v>
      </c>
      <c r="N117" s="17">
        <v>0</v>
      </c>
      <c r="O117" s="17">
        <v>0</v>
      </c>
      <c r="P117" s="17">
        <f t="shared" si="5"/>
        <v>0</v>
      </c>
      <c r="Q117" t="s">
        <v>49</v>
      </c>
      <c r="R117" t="s">
        <v>49</v>
      </c>
      <c r="S117" s="13" t="s">
        <v>301</v>
      </c>
      <c r="T117" s="13" t="s">
        <v>301</v>
      </c>
      <c r="U117" s="13" t="s">
        <v>291</v>
      </c>
      <c r="V117" s="13" t="s">
        <v>291</v>
      </c>
      <c r="W117" t="s">
        <v>52</v>
      </c>
      <c r="X117" s="15" t="s">
        <v>53</v>
      </c>
    </row>
    <row r="118" spans="1:24" ht="40.5">
      <c r="A118" s="4" t="s">
        <v>302</v>
      </c>
      <c r="B118" t="s">
        <v>44</v>
      </c>
      <c r="C118" t="s">
        <v>45</v>
      </c>
      <c r="D118" s="13" t="s">
        <v>303</v>
      </c>
      <c r="E118" t="s">
        <v>47</v>
      </c>
      <c r="F118" t="s">
        <v>48</v>
      </c>
      <c r="G118" t="s">
        <v>48</v>
      </c>
      <c r="H118" s="9">
        <v>56500000</v>
      </c>
      <c r="I118" s="9">
        <v>56500000</v>
      </c>
      <c r="J118" s="9">
        <f t="shared" si="3"/>
        <v>0</v>
      </c>
      <c r="K118" s="9">
        <v>0</v>
      </c>
      <c r="L118" s="9">
        <v>0</v>
      </c>
      <c r="M118" s="9">
        <f t="shared" si="4"/>
        <v>0</v>
      </c>
      <c r="N118" s="17">
        <v>0</v>
      </c>
      <c r="O118" s="17">
        <v>0</v>
      </c>
      <c r="P118" s="17">
        <f t="shared" si="5"/>
        <v>0</v>
      </c>
      <c r="Q118" t="s">
        <v>49</v>
      </c>
      <c r="R118" t="s">
        <v>49</v>
      </c>
      <c r="S118" s="13" t="s">
        <v>304</v>
      </c>
      <c r="T118" s="13" t="s">
        <v>304</v>
      </c>
      <c r="U118" s="13" t="s">
        <v>291</v>
      </c>
      <c r="V118" s="13" t="s">
        <v>291</v>
      </c>
      <c r="W118" t="s">
        <v>52</v>
      </c>
      <c r="X118" s="15" t="s">
        <v>53</v>
      </c>
    </row>
    <row r="119" spans="1:24" ht="40.5">
      <c r="A119" s="4" t="s">
        <v>305</v>
      </c>
      <c r="B119" t="s">
        <v>44</v>
      </c>
      <c r="C119" t="s">
        <v>45</v>
      </c>
      <c r="D119" s="13" t="s">
        <v>306</v>
      </c>
      <c r="E119" t="s">
        <v>47</v>
      </c>
      <c r="F119" t="s">
        <v>48</v>
      </c>
      <c r="G119" t="s">
        <v>48</v>
      </c>
      <c r="H119" s="9">
        <v>2000000</v>
      </c>
      <c r="I119" s="9">
        <v>2000000</v>
      </c>
      <c r="J119" s="9">
        <f t="shared" si="3"/>
        <v>0</v>
      </c>
      <c r="K119" s="9">
        <v>0</v>
      </c>
      <c r="L119" s="9">
        <v>0</v>
      </c>
      <c r="M119" s="9">
        <f t="shared" si="4"/>
        <v>0</v>
      </c>
      <c r="N119" s="17">
        <v>0</v>
      </c>
      <c r="O119" s="17">
        <v>0</v>
      </c>
      <c r="P119" s="17">
        <f t="shared" si="5"/>
        <v>0</v>
      </c>
      <c r="Q119" t="s">
        <v>49</v>
      </c>
      <c r="R119" t="s">
        <v>49</v>
      </c>
      <c r="S119" s="13" t="s">
        <v>307</v>
      </c>
      <c r="T119" s="13" t="s">
        <v>307</v>
      </c>
      <c r="U119" s="13" t="s">
        <v>291</v>
      </c>
      <c r="V119" s="13" t="s">
        <v>291</v>
      </c>
      <c r="W119" t="s">
        <v>52</v>
      </c>
      <c r="X119" s="15" t="s">
        <v>53</v>
      </c>
    </row>
    <row r="120" spans="1:24" ht="40.5">
      <c r="A120" s="4" t="s">
        <v>308</v>
      </c>
      <c r="B120" t="s">
        <v>44</v>
      </c>
      <c r="C120" t="s">
        <v>45</v>
      </c>
      <c r="D120" s="13" t="s">
        <v>309</v>
      </c>
      <c r="E120" t="s">
        <v>47</v>
      </c>
      <c r="F120" t="s">
        <v>48</v>
      </c>
      <c r="G120" t="s">
        <v>48</v>
      </c>
      <c r="H120" s="9">
        <v>2000000</v>
      </c>
      <c r="I120" s="9">
        <v>2000000</v>
      </c>
      <c r="J120" s="9">
        <f t="shared" si="3"/>
        <v>0</v>
      </c>
      <c r="K120" s="9">
        <v>0</v>
      </c>
      <c r="L120" s="9">
        <v>0</v>
      </c>
      <c r="M120" s="9">
        <f t="shared" si="4"/>
        <v>0</v>
      </c>
      <c r="N120" s="17">
        <v>0</v>
      </c>
      <c r="O120" s="17">
        <v>0</v>
      </c>
      <c r="P120" s="17">
        <f t="shared" si="5"/>
        <v>0</v>
      </c>
      <c r="Q120" t="s">
        <v>49</v>
      </c>
      <c r="R120" t="s">
        <v>49</v>
      </c>
      <c r="S120" s="13" t="s">
        <v>307</v>
      </c>
      <c r="T120" s="13" t="s">
        <v>307</v>
      </c>
      <c r="U120" s="13" t="s">
        <v>291</v>
      </c>
      <c r="V120" s="13" t="s">
        <v>291</v>
      </c>
      <c r="W120" t="s">
        <v>52</v>
      </c>
      <c r="X120" s="15" t="s">
        <v>53</v>
      </c>
    </row>
    <row r="121" spans="1:24" ht="40.5">
      <c r="A121" s="4" t="s">
        <v>310</v>
      </c>
      <c r="B121" t="s">
        <v>44</v>
      </c>
      <c r="C121" t="s">
        <v>45</v>
      </c>
      <c r="D121" s="13" t="s">
        <v>311</v>
      </c>
      <c r="E121" t="s">
        <v>47</v>
      </c>
      <c r="F121" t="s">
        <v>48</v>
      </c>
      <c r="G121" t="s">
        <v>48</v>
      </c>
      <c r="H121" s="9">
        <v>1000000</v>
      </c>
      <c r="I121" s="9">
        <v>1000000</v>
      </c>
      <c r="J121" s="9">
        <f t="shared" si="3"/>
        <v>0</v>
      </c>
      <c r="K121" s="9">
        <v>0</v>
      </c>
      <c r="L121" s="9">
        <v>0</v>
      </c>
      <c r="M121" s="9">
        <f t="shared" si="4"/>
        <v>0</v>
      </c>
      <c r="N121" s="17">
        <v>0</v>
      </c>
      <c r="O121" s="17">
        <v>0</v>
      </c>
      <c r="P121" s="17">
        <f t="shared" si="5"/>
        <v>0</v>
      </c>
      <c r="Q121" t="s">
        <v>49</v>
      </c>
      <c r="R121" t="s">
        <v>49</v>
      </c>
      <c r="S121" s="13" t="s">
        <v>312</v>
      </c>
      <c r="T121" s="13" t="s">
        <v>312</v>
      </c>
      <c r="U121" s="13" t="s">
        <v>291</v>
      </c>
      <c r="V121" s="13" t="s">
        <v>291</v>
      </c>
      <c r="W121" t="s">
        <v>52</v>
      </c>
      <c r="X121" s="15" t="s">
        <v>53</v>
      </c>
    </row>
    <row r="122" spans="1:24" ht="40.5">
      <c r="A122" s="4" t="s">
        <v>313</v>
      </c>
      <c r="B122" t="s">
        <v>44</v>
      </c>
      <c r="C122" t="s">
        <v>45</v>
      </c>
      <c r="D122" s="13" t="s">
        <v>314</v>
      </c>
      <c r="E122" t="s">
        <v>47</v>
      </c>
      <c r="F122" t="s">
        <v>48</v>
      </c>
      <c r="G122" t="s">
        <v>48</v>
      </c>
      <c r="H122" s="9">
        <v>4500000</v>
      </c>
      <c r="I122" s="9">
        <v>4500000</v>
      </c>
      <c r="J122" s="9">
        <f t="shared" si="3"/>
        <v>0</v>
      </c>
      <c r="K122" s="9">
        <v>0</v>
      </c>
      <c r="L122" s="9">
        <v>0</v>
      </c>
      <c r="M122" s="9">
        <f t="shared" si="4"/>
        <v>0</v>
      </c>
      <c r="N122" s="17">
        <v>0</v>
      </c>
      <c r="O122" s="17">
        <v>0</v>
      </c>
      <c r="P122" s="17">
        <f t="shared" si="5"/>
        <v>0</v>
      </c>
      <c r="Q122" t="s">
        <v>49</v>
      </c>
      <c r="R122" t="s">
        <v>49</v>
      </c>
      <c r="S122" s="13" t="s">
        <v>315</v>
      </c>
      <c r="T122" s="13" t="s">
        <v>315</v>
      </c>
      <c r="U122" s="13" t="s">
        <v>291</v>
      </c>
      <c r="V122" s="13" t="s">
        <v>291</v>
      </c>
      <c r="W122" t="s">
        <v>52</v>
      </c>
      <c r="X122" s="15" t="s">
        <v>53</v>
      </c>
    </row>
    <row r="123" spans="1:24" ht="40.5">
      <c r="A123" s="4" t="s">
        <v>316</v>
      </c>
      <c r="B123" t="s">
        <v>44</v>
      </c>
      <c r="C123" t="s">
        <v>45</v>
      </c>
      <c r="D123" s="13" t="s">
        <v>317</v>
      </c>
      <c r="E123" t="s">
        <v>47</v>
      </c>
      <c r="F123" t="s">
        <v>48</v>
      </c>
      <c r="G123" t="s">
        <v>48</v>
      </c>
      <c r="H123" s="9">
        <v>1980000</v>
      </c>
      <c r="I123" s="9">
        <v>1980000</v>
      </c>
      <c r="J123" s="9">
        <f t="shared" si="3"/>
        <v>0</v>
      </c>
      <c r="K123" s="9">
        <v>0</v>
      </c>
      <c r="L123" s="9">
        <v>0</v>
      </c>
      <c r="M123" s="9">
        <f t="shared" si="4"/>
        <v>0</v>
      </c>
      <c r="N123" s="17">
        <v>0</v>
      </c>
      <c r="O123" s="17">
        <v>0</v>
      </c>
      <c r="P123" s="17">
        <f t="shared" si="5"/>
        <v>0</v>
      </c>
      <c r="Q123" t="s">
        <v>49</v>
      </c>
      <c r="R123" t="s">
        <v>49</v>
      </c>
      <c r="S123" s="13" t="s">
        <v>318</v>
      </c>
      <c r="T123" s="13" t="s">
        <v>318</v>
      </c>
      <c r="U123" s="13" t="s">
        <v>291</v>
      </c>
      <c r="V123" s="13" t="s">
        <v>291</v>
      </c>
      <c r="W123" t="s">
        <v>52</v>
      </c>
      <c r="X123" s="15" t="s">
        <v>53</v>
      </c>
    </row>
    <row r="124" spans="1:24" ht="40.5">
      <c r="A124" s="4" t="s">
        <v>319</v>
      </c>
      <c r="B124" t="s">
        <v>44</v>
      </c>
      <c r="C124" t="s">
        <v>45</v>
      </c>
      <c r="D124" s="13" t="s">
        <v>181</v>
      </c>
      <c r="E124" t="s">
        <v>47</v>
      </c>
      <c r="F124" t="s">
        <v>48</v>
      </c>
      <c r="G124" t="s">
        <v>48</v>
      </c>
      <c r="H124" s="9">
        <v>4480000</v>
      </c>
      <c r="I124" s="9">
        <v>4480000</v>
      </c>
      <c r="J124" s="9">
        <f t="shared" si="3"/>
        <v>0</v>
      </c>
      <c r="K124" s="9">
        <v>0</v>
      </c>
      <c r="L124" s="9">
        <v>0</v>
      </c>
      <c r="M124" s="9">
        <f t="shared" si="4"/>
        <v>0</v>
      </c>
      <c r="N124" s="17">
        <v>0</v>
      </c>
      <c r="O124" s="17">
        <v>0</v>
      </c>
      <c r="P124" s="17">
        <f t="shared" si="5"/>
        <v>0</v>
      </c>
      <c r="Q124" t="s">
        <v>49</v>
      </c>
      <c r="R124" t="s">
        <v>49</v>
      </c>
      <c r="S124" s="13" t="s">
        <v>320</v>
      </c>
      <c r="T124" s="13" t="s">
        <v>320</v>
      </c>
      <c r="U124" s="13" t="s">
        <v>291</v>
      </c>
      <c r="V124" s="13" t="s">
        <v>291</v>
      </c>
      <c r="W124" t="s">
        <v>52</v>
      </c>
      <c r="X124" s="15" t="s">
        <v>53</v>
      </c>
    </row>
    <row r="125" spans="1:24" ht="40.5">
      <c r="A125" s="4" t="s">
        <v>321</v>
      </c>
      <c r="B125" t="s">
        <v>44</v>
      </c>
      <c r="C125" t="s">
        <v>45</v>
      </c>
      <c r="D125" s="13" t="s">
        <v>322</v>
      </c>
      <c r="E125" t="s">
        <v>47</v>
      </c>
      <c r="F125" t="s">
        <v>48</v>
      </c>
      <c r="G125" t="s">
        <v>48</v>
      </c>
      <c r="H125" s="9">
        <v>5120000</v>
      </c>
      <c r="I125" s="9">
        <v>5120000</v>
      </c>
      <c r="J125" s="9">
        <f t="shared" si="3"/>
        <v>0</v>
      </c>
      <c r="K125" s="9">
        <v>0</v>
      </c>
      <c r="L125" s="9">
        <v>0</v>
      </c>
      <c r="M125" s="9">
        <f t="shared" si="4"/>
        <v>0</v>
      </c>
      <c r="N125" s="17">
        <v>0</v>
      </c>
      <c r="O125" s="17">
        <v>0</v>
      </c>
      <c r="P125" s="17">
        <f t="shared" si="5"/>
        <v>0</v>
      </c>
      <c r="Q125" t="s">
        <v>49</v>
      </c>
      <c r="R125" t="s">
        <v>49</v>
      </c>
      <c r="S125" s="13" t="s">
        <v>323</v>
      </c>
      <c r="T125" s="13" t="s">
        <v>323</v>
      </c>
      <c r="U125" s="13" t="s">
        <v>260</v>
      </c>
      <c r="V125" s="13" t="s">
        <v>260</v>
      </c>
      <c r="W125" t="s">
        <v>52</v>
      </c>
      <c r="X125" s="15" t="s">
        <v>53</v>
      </c>
    </row>
    <row r="126" spans="1:24" ht="40.5">
      <c r="A126" s="4" t="s">
        <v>324</v>
      </c>
      <c r="B126" t="s">
        <v>44</v>
      </c>
      <c r="C126" t="s">
        <v>45</v>
      </c>
      <c r="D126" s="13" t="s">
        <v>325</v>
      </c>
      <c r="E126" t="s">
        <v>47</v>
      </c>
      <c r="F126" t="s">
        <v>48</v>
      </c>
      <c r="G126" t="s">
        <v>48</v>
      </c>
      <c r="H126" s="9">
        <v>147440000</v>
      </c>
      <c r="I126" s="9">
        <v>147440000</v>
      </c>
      <c r="J126" s="9">
        <f t="shared" si="3"/>
        <v>0</v>
      </c>
      <c r="K126" s="9">
        <v>0</v>
      </c>
      <c r="L126" s="9">
        <v>0</v>
      </c>
      <c r="M126" s="9">
        <f t="shared" si="4"/>
        <v>0</v>
      </c>
      <c r="N126" s="17">
        <v>0</v>
      </c>
      <c r="O126" s="17">
        <v>0</v>
      </c>
      <c r="P126" s="17">
        <f t="shared" si="5"/>
        <v>0</v>
      </c>
      <c r="Q126" t="s">
        <v>49</v>
      </c>
      <c r="R126" t="s">
        <v>49</v>
      </c>
      <c r="S126" s="13" t="s">
        <v>326</v>
      </c>
      <c r="T126" s="13" t="s">
        <v>326</v>
      </c>
      <c r="U126" s="13" t="s">
        <v>260</v>
      </c>
      <c r="V126" s="13" t="s">
        <v>260</v>
      </c>
      <c r="W126" t="s">
        <v>52</v>
      </c>
      <c r="X126" s="15" t="s">
        <v>53</v>
      </c>
    </row>
    <row r="127" spans="1:24" ht="40.5">
      <c r="A127" s="4" t="s">
        <v>327</v>
      </c>
      <c r="B127" t="s">
        <v>44</v>
      </c>
      <c r="C127" t="s">
        <v>45</v>
      </c>
      <c r="D127" s="13" t="s">
        <v>328</v>
      </c>
      <c r="E127" t="s">
        <v>56</v>
      </c>
      <c r="F127" t="s">
        <v>329</v>
      </c>
      <c r="G127" t="s">
        <v>329</v>
      </c>
      <c r="H127" s="9">
        <v>304800000</v>
      </c>
      <c r="I127" s="9">
        <v>304800000</v>
      </c>
      <c r="J127" s="9">
        <f t="shared" si="3"/>
        <v>0</v>
      </c>
      <c r="K127" s="9">
        <v>167378232</v>
      </c>
      <c r="L127" s="9">
        <v>167378232</v>
      </c>
      <c r="M127" s="9">
        <f t="shared" si="4"/>
        <v>0</v>
      </c>
      <c r="N127" s="17">
        <v>0.55000000000000004</v>
      </c>
      <c r="O127" s="17">
        <v>0.55000000000000004</v>
      </c>
      <c r="P127" s="17">
        <f t="shared" si="5"/>
        <v>0</v>
      </c>
      <c r="Q127" t="s">
        <v>49</v>
      </c>
      <c r="R127" t="s">
        <v>49</v>
      </c>
      <c r="S127" s="13" t="s">
        <v>330</v>
      </c>
      <c r="T127" s="13" t="s">
        <v>330</v>
      </c>
      <c r="U127" s="13" t="s">
        <v>260</v>
      </c>
      <c r="V127" s="13" t="s">
        <v>260</v>
      </c>
      <c r="W127" t="s">
        <v>52</v>
      </c>
      <c r="X127" s="15" t="s">
        <v>53</v>
      </c>
    </row>
    <row r="128" spans="1:24" ht="27">
      <c r="A128" s="4" t="s">
        <v>331</v>
      </c>
      <c r="B128" t="s">
        <v>44</v>
      </c>
      <c r="C128" t="s">
        <v>45</v>
      </c>
      <c r="D128" s="13" t="s">
        <v>332</v>
      </c>
      <c r="E128" t="s">
        <v>56</v>
      </c>
      <c r="F128" t="s">
        <v>329</v>
      </c>
      <c r="G128" t="s">
        <v>329</v>
      </c>
      <c r="H128" s="9">
        <v>26400000</v>
      </c>
      <c r="I128" s="9">
        <v>26400000</v>
      </c>
      <c r="J128" s="9">
        <f t="shared" si="3"/>
        <v>0</v>
      </c>
      <c r="K128" s="9">
        <v>26302294</v>
      </c>
      <c r="L128" s="9">
        <v>26302294</v>
      </c>
      <c r="M128" s="9">
        <f t="shared" si="4"/>
        <v>0</v>
      </c>
      <c r="N128" s="17">
        <v>1</v>
      </c>
      <c r="O128" s="17">
        <v>1</v>
      </c>
      <c r="P128" s="17">
        <f t="shared" si="5"/>
        <v>0</v>
      </c>
      <c r="Q128" t="s">
        <v>49</v>
      </c>
      <c r="R128" t="s">
        <v>49</v>
      </c>
      <c r="S128" s="13" t="s">
        <v>333</v>
      </c>
      <c r="T128" s="13" t="s">
        <v>333</v>
      </c>
      <c r="U128" s="13" t="s">
        <v>260</v>
      </c>
      <c r="V128" s="13" t="s">
        <v>260</v>
      </c>
      <c r="W128" t="s">
        <v>52</v>
      </c>
      <c r="X128" s="15" t="s">
        <v>53</v>
      </c>
    </row>
    <row r="129" spans="1:24" ht="40.5">
      <c r="A129" s="4" t="s">
        <v>334</v>
      </c>
      <c r="B129" t="s">
        <v>44</v>
      </c>
      <c r="C129" t="s">
        <v>45</v>
      </c>
      <c r="D129" s="13" t="s">
        <v>335</v>
      </c>
      <c r="E129" t="s">
        <v>47</v>
      </c>
      <c r="F129" t="s">
        <v>84</v>
      </c>
      <c r="G129" t="s">
        <v>48</v>
      </c>
      <c r="H129" s="9">
        <v>20800000</v>
      </c>
      <c r="I129" s="9">
        <v>20800000</v>
      </c>
      <c r="J129" s="9">
        <f t="shared" si="3"/>
        <v>0</v>
      </c>
      <c r="K129" s="9">
        <v>20672036.16</v>
      </c>
      <c r="L129" s="9">
        <v>0</v>
      </c>
      <c r="M129" s="9">
        <f t="shared" si="4"/>
        <v>-20672036.16</v>
      </c>
      <c r="N129" s="17">
        <v>0.99</v>
      </c>
      <c r="O129" s="17">
        <v>0</v>
      </c>
      <c r="P129" s="17">
        <f t="shared" si="5"/>
        <v>-0.99</v>
      </c>
      <c r="Q129" t="s">
        <v>49</v>
      </c>
      <c r="R129" t="s">
        <v>49</v>
      </c>
      <c r="S129" s="13" t="s">
        <v>336</v>
      </c>
      <c r="T129" s="13" t="s">
        <v>336</v>
      </c>
      <c r="U129" s="13" t="s">
        <v>260</v>
      </c>
      <c r="V129" s="13" t="s">
        <v>260</v>
      </c>
      <c r="W129" t="s">
        <v>64</v>
      </c>
      <c r="X129" s="15" t="s">
        <v>337</v>
      </c>
    </row>
    <row r="130" spans="1:24" ht="40.5">
      <c r="A130" s="4" t="s">
        <v>338</v>
      </c>
      <c r="B130" t="s">
        <v>44</v>
      </c>
      <c r="C130" t="s">
        <v>45</v>
      </c>
      <c r="D130" s="13" t="s">
        <v>339</v>
      </c>
      <c r="E130" t="s">
        <v>47</v>
      </c>
      <c r="F130" t="s">
        <v>84</v>
      </c>
      <c r="G130" t="s">
        <v>48</v>
      </c>
      <c r="H130" s="9">
        <v>164493000</v>
      </c>
      <c r="I130" s="9">
        <v>164493000</v>
      </c>
      <c r="J130" s="9">
        <f t="shared" si="3"/>
        <v>0</v>
      </c>
      <c r="K130" s="9">
        <v>163947747.03</v>
      </c>
      <c r="L130" s="9">
        <v>0</v>
      </c>
      <c r="M130" s="9">
        <f t="shared" si="4"/>
        <v>-163947747.03</v>
      </c>
      <c r="N130" s="17">
        <v>1</v>
      </c>
      <c r="O130" s="17">
        <v>0</v>
      </c>
      <c r="P130" s="17">
        <f t="shared" si="5"/>
        <v>-1</v>
      </c>
      <c r="Q130" t="s">
        <v>49</v>
      </c>
      <c r="R130" t="s">
        <v>49</v>
      </c>
      <c r="S130" s="13" t="s">
        <v>340</v>
      </c>
      <c r="T130" s="13" t="s">
        <v>340</v>
      </c>
      <c r="U130" s="13" t="s">
        <v>63</v>
      </c>
      <c r="V130" s="13" t="s">
        <v>63</v>
      </c>
      <c r="W130" t="s">
        <v>64</v>
      </c>
      <c r="X130" s="15" t="s">
        <v>341</v>
      </c>
    </row>
    <row r="131" spans="1:24" ht="40.5">
      <c r="A131" s="4" t="s">
        <v>342</v>
      </c>
      <c r="B131" t="s">
        <v>44</v>
      </c>
      <c r="C131" t="s">
        <v>45</v>
      </c>
      <c r="D131" s="13" t="s">
        <v>343</v>
      </c>
      <c r="E131" t="s">
        <v>47</v>
      </c>
      <c r="F131" t="s">
        <v>84</v>
      </c>
      <c r="G131" t="s">
        <v>48</v>
      </c>
      <c r="H131" s="9">
        <v>33920000</v>
      </c>
      <c r="I131" s="9">
        <v>33920000</v>
      </c>
      <c r="J131" s="9">
        <f t="shared" si="3"/>
        <v>0</v>
      </c>
      <c r="K131" s="9">
        <v>33821665.920000002</v>
      </c>
      <c r="L131" s="9">
        <v>0</v>
      </c>
      <c r="M131" s="9">
        <f t="shared" si="4"/>
        <v>-33821665.920000002</v>
      </c>
      <c r="N131" s="17">
        <v>1</v>
      </c>
      <c r="O131" s="17">
        <v>0</v>
      </c>
      <c r="P131" s="17">
        <f t="shared" si="5"/>
        <v>-1</v>
      </c>
      <c r="Q131" t="s">
        <v>49</v>
      </c>
      <c r="R131" t="s">
        <v>49</v>
      </c>
      <c r="S131" s="13" t="s">
        <v>344</v>
      </c>
      <c r="T131" s="13" t="s">
        <v>344</v>
      </c>
      <c r="U131" s="13" t="s">
        <v>345</v>
      </c>
      <c r="V131" s="13" t="s">
        <v>345</v>
      </c>
      <c r="W131" t="s">
        <v>64</v>
      </c>
      <c r="X131" s="15" t="s">
        <v>346</v>
      </c>
    </row>
    <row r="132" spans="1:24" ht="40.5">
      <c r="A132" s="4" t="s">
        <v>347</v>
      </c>
      <c r="B132" t="s">
        <v>44</v>
      </c>
      <c r="C132" t="s">
        <v>45</v>
      </c>
      <c r="D132" s="13" t="s">
        <v>348</v>
      </c>
      <c r="E132" t="s">
        <v>47</v>
      </c>
      <c r="F132" t="s">
        <v>84</v>
      </c>
      <c r="G132" t="s">
        <v>48</v>
      </c>
      <c r="H132" s="9">
        <v>61000000</v>
      </c>
      <c r="I132" s="9">
        <v>61000000</v>
      </c>
      <c r="J132" s="9">
        <f t="shared" ref="J132:J195" si="6">IF(OR(H132="",I132=""),"",I132-H132)</f>
        <v>0</v>
      </c>
      <c r="K132" s="9">
        <v>60627534</v>
      </c>
      <c r="L132" s="9">
        <v>0</v>
      </c>
      <c r="M132" s="9">
        <f t="shared" ref="M132:M195" si="7">IF(OR(K132="",L132=""),"",L132-K132)</f>
        <v>-60627534</v>
      </c>
      <c r="N132" s="17">
        <v>0.99</v>
      </c>
      <c r="O132" s="17">
        <v>0</v>
      </c>
      <c r="P132" s="17">
        <f t="shared" ref="P132:P195" si="8">IF(OR(N132="",O132=""),"",O132-N132)</f>
        <v>-0.99</v>
      </c>
      <c r="Q132" t="s">
        <v>49</v>
      </c>
      <c r="R132" t="s">
        <v>49</v>
      </c>
      <c r="S132" s="13" t="s">
        <v>349</v>
      </c>
      <c r="T132" s="13" t="s">
        <v>349</v>
      </c>
      <c r="U132" s="13" t="s">
        <v>350</v>
      </c>
      <c r="V132" s="13" t="s">
        <v>350</v>
      </c>
      <c r="W132" t="s">
        <v>64</v>
      </c>
      <c r="X132" s="15" t="s">
        <v>351</v>
      </c>
    </row>
    <row r="133" spans="1:24" ht="40.5">
      <c r="A133" s="4" t="s">
        <v>352</v>
      </c>
      <c r="B133" t="s">
        <v>44</v>
      </c>
      <c r="C133" t="s">
        <v>45</v>
      </c>
      <c r="D133" s="13" t="s">
        <v>353</v>
      </c>
      <c r="E133" t="s">
        <v>47</v>
      </c>
      <c r="F133" t="s">
        <v>48</v>
      </c>
      <c r="G133" t="s">
        <v>48</v>
      </c>
      <c r="H133" s="9">
        <v>108000000</v>
      </c>
      <c r="I133" s="9">
        <v>108000000</v>
      </c>
      <c r="J133" s="9">
        <f t="shared" si="6"/>
        <v>0</v>
      </c>
      <c r="K133" s="9">
        <v>0</v>
      </c>
      <c r="L133" s="9">
        <v>0</v>
      </c>
      <c r="M133" s="9">
        <f t="shared" si="7"/>
        <v>0</v>
      </c>
      <c r="N133" s="17">
        <v>0</v>
      </c>
      <c r="O133" s="17">
        <v>0</v>
      </c>
      <c r="P133" s="17">
        <f t="shared" si="8"/>
        <v>0</v>
      </c>
      <c r="Q133" t="s">
        <v>49</v>
      </c>
      <c r="R133" t="s">
        <v>49</v>
      </c>
      <c r="S133" s="13" t="s">
        <v>354</v>
      </c>
      <c r="T133" s="13" t="s">
        <v>354</v>
      </c>
      <c r="U133" s="13" t="s">
        <v>350</v>
      </c>
      <c r="V133" s="13" t="s">
        <v>350</v>
      </c>
      <c r="W133" t="s">
        <v>52</v>
      </c>
      <c r="X133" s="15" t="s">
        <v>53</v>
      </c>
    </row>
    <row r="134" spans="1:24" ht="40.5">
      <c r="A134" s="4" t="s">
        <v>355</v>
      </c>
      <c r="B134" t="s">
        <v>44</v>
      </c>
      <c r="C134" t="s">
        <v>45</v>
      </c>
      <c r="D134" s="13" t="s">
        <v>356</v>
      </c>
      <c r="E134" t="s">
        <v>47</v>
      </c>
      <c r="F134" t="s">
        <v>48</v>
      </c>
      <c r="G134" t="s">
        <v>48</v>
      </c>
      <c r="H134" s="9">
        <v>65000000</v>
      </c>
      <c r="I134" s="9">
        <v>65000000</v>
      </c>
      <c r="J134" s="9">
        <f t="shared" si="6"/>
        <v>0</v>
      </c>
      <c r="K134" s="9">
        <v>0</v>
      </c>
      <c r="L134" s="9">
        <v>0</v>
      </c>
      <c r="M134" s="9">
        <f t="shared" si="7"/>
        <v>0</v>
      </c>
      <c r="N134" s="17">
        <v>0</v>
      </c>
      <c r="O134" s="17">
        <v>0</v>
      </c>
      <c r="P134" s="17">
        <f t="shared" si="8"/>
        <v>0</v>
      </c>
      <c r="Q134" t="s">
        <v>49</v>
      </c>
      <c r="R134" t="s">
        <v>49</v>
      </c>
      <c r="S134" s="13" t="s">
        <v>357</v>
      </c>
      <c r="T134" s="13" t="s">
        <v>357</v>
      </c>
      <c r="U134" s="13" t="s">
        <v>350</v>
      </c>
      <c r="V134" s="13" t="s">
        <v>350</v>
      </c>
      <c r="W134" t="s">
        <v>52</v>
      </c>
      <c r="X134" s="15" t="s">
        <v>53</v>
      </c>
    </row>
    <row r="135" spans="1:24" ht="40.5">
      <c r="A135" s="4" t="s">
        <v>358</v>
      </c>
      <c r="B135" t="s">
        <v>44</v>
      </c>
      <c r="C135" t="s">
        <v>45</v>
      </c>
      <c r="D135" s="13" t="s">
        <v>359</v>
      </c>
      <c r="E135" t="s">
        <v>47</v>
      </c>
      <c r="F135" t="s">
        <v>48</v>
      </c>
      <c r="G135" t="s">
        <v>48</v>
      </c>
      <c r="H135" s="9">
        <v>96552000</v>
      </c>
      <c r="I135" s="9">
        <v>96552000</v>
      </c>
      <c r="J135" s="9">
        <f t="shared" si="6"/>
        <v>0</v>
      </c>
      <c r="K135" s="9">
        <v>0</v>
      </c>
      <c r="L135" s="9">
        <v>0</v>
      </c>
      <c r="M135" s="9">
        <f t="shared" si="7"/>
        <v>0</v>
      </c>
      <c r="N135" s="17">
        <v>0</v>
      </c>
      <c r="O135" s="17">
        <v>0</v>
      </c>
      <c r="P135" s="17">
        <f t="shared" si="8"/>
        <v>0</v>
      </c>
      <c r="Q135" t="s">
        <v>49</v>
      </c>
      <c r="R135" t="s">
        <v>49</v>
      </c>
      <c r="S135" s="13" t="s">
        <v>360</v>
      </c>
      <c r="T135" s="13" t="s">
        <v>360</v>
      </c>
      <c r="U135" s="13" t="s">
        <v>350</v>
      </c>
      <c r="V135" s="13" t="s">
        <v>350</v>
      </c>
      <c r="W135" t="s">
        <v>52</v>
      </c>
      <c r="X135" s="15" t="s">
        <v>53</v>
      </c>
    </row>
    <row r="136" spans="1:24" ht="40.5">
      <c r="A136" s="4" t="s">
        <v>361</v>
      </c>
      <c r="B136" t="s">
        <v>44</v>
      </c>
      <c r="C136" t="s">
        <v>45</v>
      </c>
      <c r="D136" s="13" t="s">
        <v>362</v>
      </c>
      <c r="E136" t="s">
        <v>47</v>
      </c>
      <c r="F136" t="s">
        <v>48</v>
      </c>
      <c r="G136" t="s">
        <v>48</v>
      </c>
      <c r="H136" s="9">
        <v>62843000</v>
      </c>
      <c r="I136" s="9">
        <v>62843000</v>
      </c>
      <c r="J136" s="9">
        <f t="shared" si="6"/>
        <v>0</v>
      </c>
      <c r="K136" s="9">
        <v>0</v>
      </c>
      <c r="L136" s="9">
        <v>0</v>
      </c>
      <c r="M136" s="9">
        <f t="shared" si="7"/>
        <v>0</v>
      </c>
      <c r="N136" s="17">
        <v>0</v>
      </c>
      <c r="O136" s="17">
        <v>0</v>
      </c>
      <c r="P136" s="17">
        <f t="shared" si="8"/>
        <v>0</v>
      </c>
      <c r="Q136" t="s">
        <v>49</v>
      </c>
      <c r="R136" t="s">
        <v>49</v>
      </c>
      <c r="S136" s="13" t="s">
        <v>363</v>
      </c>
      <c r="T136" s="13" t="s">
        <v>363</v>
      </c>
      <c r="U136" s="13" t="s">
        <v>350</v>
      </c>
      <c r="V136" s="13" t="s">
        <v>350</v>
      </c>
      <c r="W136" t="s">
        <v>52</v>
      </c>
      <c r="X136" s="15" t="s">
        <v>53</v>
      </c>
    </row>
    <row r="137" spans="1:24" ht="27">
      <c r="A137" s="4" t="s">
        <v>364</v>
      </c>
      <c r="B137" t="s">
        <v>44</v>
      </c>
      <c r="C137" t="s">
        <v>45</v>
      </c>
      <c r="D137" s="13" t="s">
        <v>365</v>
      </c>
      <c r="E137" t="s">
        <v>366</v>
      </c>
      <c r="F137" t="s">
        <v>48</v>
      </c>
      <c r="G137" t="s">
        <v>48</v>
      </c>
      <c r="H137" s="9">
        <v>312000000</v>
      </c>
      <c r="I137" s="9">
        <v>312000000</v>
      </c>
      <c r="J137" s="9">
        <f t="shared" si="6"/>
        <v>0</v>
      </c>
      <c r="K137" s="9">
        <v>0</v>
      </c>
      <c r="L137" s="9">
        <v>0</v>
      </c>
      <c r="M137" s="9">
        <f t="shared" si="7"/>
        <v>0</v>
      </c>
      <c r="N137" s="17">
        <v>0</v>
      </c>
      <c r="O137" s="17">
        <v>0</v>
      </c>
      <c r="P137" s="17">
        <f t="shared" si="8"/>
        <v>0</v>
      </c>
      <c r="Q137" t="s">
        <v>49</v>
      </c>
      <c r="R137" t="s">
        <v>49</v>
      </c>
      <c r="S137" s="13" t="s">
        <v>367</v>
      </c>
      <c r="T137" s="13" t="s">
        <v>367</v>
      </c>
      <c r="U137" s="13" t="s">
        <v>368</v>
      </c>
      <c r="V137" s="13" t="s">
        <v>368</v>
      </c>
      <c r="W137" t="s">
        <v>52</v>
      </c>
      <c r="X137" s="15" t="s">
        <v>53</v>
      </c>
    </row>
    <row r="138" spans="1:24" ht="27">
      <c r="A138" s="4" t="s">
        <v>369</v>
      </c>
      <c r="B138" t="s">
        <v>44</v>
      </c>
      <c r="C138" t="s">
        <v>45</v>
      </c>
      <c r="D138" s="13" t="s">
        <v>370</v>
      </c>
      <c r="E138" t="s">
        <v>366</v>
      </c>
      <c r="F138" t="s">
        <v>48</v>
      </c>
      <c r="G138" t="s">
        <v>48</v>
      </c>
      <c r="H138" s="9">
        <v>312000000</v>
      </c>
      <c r="I138" s="9">
        <v>312000000</v>
      </c>
      <c r="J138" s="9">
        <f t="shared" si="6"/>
        <v>0</v>
      </c>
      <c r="K138" s="9">
        <v>0</v>
      </c>
      <c r="L138" s="9">
        <v>0</v>
      </c>
      <c r="M138" s="9">
        <f t="shared" si="7"/>
        <v>0</v>
      </c>
      <c r="N138" s="17">
        <v>0</v>
      </c>
      <c r="O138" s="17">
        <v>0</v>
      </c>
      <c r="P138" s="17">
        <f t="shared" si="8"/>
        <v>0</v>
      </c>
      <c r="Q138" t="s">
        <v>49</v>
      </c>
      <c r="R138" t="s">
        <v>49</v>
      </c>
      <c r="S138" s="13" t="s">
        <v>371</v>
      </c>
      <c r="T138" s="13" t="s">
        <v>371</v>
      </c>
      <c r="U138" s="13" t="s">
        <v>260</v>
      </c>
      <c r="V138" s="13" t="s">
        <v>260</v>
      </c>
      <c r="W138" t="s">
        <v>52</v>
      </c>
      <c r="X138" s="15" t="s">
        <v>53</v>
      </c>
    </row>
    <row r="139" spans="1:24" ht="27">
      <c r="A139" s="4" t="s">
        <v>372</v>
      </c>
      <c r="B139" t="s">
        <v>44</v>
      </c>
      <c r="C139" t="s">
        <v>45</v>
      </c>
      <c r="D139" s="13" t="s">
        <v>373</v>
      </c>
      <c r="E139" t="s">
        <v>366</v>
      </c>
      <c r="F139" t="s">
        <v>48</v>
      </c>
      <c r="G139" t="s">
        <v>48</v>
      </c>
      <c r="H139" s="9">
        <v>18000000</v>
      </c>
      <c r="I139" s="9">
        <v>18000000</v>
      </c>
      <c r="J139" s="9">
        <f t="shared" si="6"/>
        <v>0</v>
      </c>
      <c r="K139" s="9">
        <v>0</v>
      </c>
      <c r="L139" s="9">
        <v>0</v>
      </c>
      <c r="M139" s="9">
        <f t="shared" si="7"/>
        <v>0</v>
      </c>
      <c r="N139" s="17">
        <v>0</v>
      </c>
      <c r="O139" s="17">
        <v>0</v>
      </c>
      <c r="P139" s="17">
        <f t="shared" si="8"/>
        <v>0</v>
      </c>
      <c r="Q139" t="s">
        <v>49</v>
      </c>
      <c r="R139" t="s">
        <v>49</v>
      </c>
      <c r="S139" s="13" t="s">
        <v>374</v>
      </c>
      <c r="T139" s="13" t="s">
        <v>374</v>
      </c>
      <c r="U139" s="13" t="s">
        <v>260</v>
      </c>
      <c r="V139" s="13" t="s">
        <v>260</v>
      </c>
      <c r="W139" t="s">
        <v>52</v>
      </c>
      <c r="X139" s="15" t="s">
        <v>53</v>
      </c>
    </row>
    <row r="140" spans="1:24" ht="27">
      <c r="A140" s="4" t="s">
        <v>375</v>
      </c>
      <c r="B140" t="s">
        <v>44</v>
      </c>
      <c r="C140" t="s">
        <v>45</v>
      </c>
      <c r="D140" s="13" t="s">
        <v>376</v>
      </c>
      <c r="E140" t="s">
        <v>47</v>
      </c>
      <c r="F140" t="s">
        <v>84</v>
      </c>
      <c r="G140" t="s">
        <v>48</v>
      </c>
      <c r="H140" s="9">
        <v>71000000</v>
      </c>
      <c r="I140" s="9">
        <v>71000000</v>
      </c>
      <c r="J140" s="9">
        <f t="shared" si="6"/>
        <v>0</v>
      </c>
      <c r="K140" s="9">
        <v>70584480.420000002</v>
      </c>
      <c r="L140" s="9">
        <v>0</v>
      </c>
      <c r="M140" s="9">
        <f t="shared" si="7"/>
        <v>-70584480.420000002</v>
      </c>
      <c r="N140" s="17">
        <v>0.99</v>
      </c>
      <c r="O140" s="17">
        <v>0</v>
      </c>
      <c r="P140" s="17">
        <f t="shared" si="8"/>
        <v>-0.99</v>
      </c>
      <c r="Q140" t="s">
        <v>49</v>
      </c>
      <c r="R140" t="s">
        <v>49</v>
      </c>
      <c r="S140" s="13" t="s">
        <v>377</v>
      </c>
      <c r="T140" s="13" t="s">
        <v>377</v>
      </c>
      <c r="U140" s="13" t="s">
        <v>260</v>
      </c>
      <c r="V140" s="13" t="s">
        <v>260</v>
      </c>
      <c r="W140" t="s">
        <v>64</v>
      </c>
      <c r="X140" s="15" t="s">
        <v>378</v>
      </c>
    </row>
    <row r="141" spans="1:24" ht="40.5">
      <c r="A141" s="4" t="s">
        <v>379</v>
      </c>
      <c r="B141" t="s">
        <v>44</v>
      </c>
      <c r="C141" t="s">
        <v>45</v>
      </c>
      <c r="D141" s="13" t="s">
        <v>380</v>
      </c>
      <c r="E141" t="s">
        <v>47</v>
      </c>
      <c r="F141" t="s">
        <v>84</v>
      </c>
      <c r="G141" t="s">
        <v>48</v>
      </c>
      <c r="H141" s="9">
        <v>169000000</v>
      </c>
      <c r="I141" s="9">
        <v>169000000</v>
      </c>
      <c r="J141" s="9">
        <f t="shared" si="6"/>
        <v>0</v>
      </c>
      <c r="K141" s="9">
        <v>167890319.40000001</v>
      </c>
      <c r="L141" s="9">
        <v>0</v>
      </c>
      <c r="M141" s="9">
        <f t="shared" si="7"/>
        <v>-167890319.40000001</v>
      </c>
      <c r="N141" s="17">
        <v>0.99</v>
      </c>
      <c r="O141" s="17">
        <v>0</v>
      </c>
      <c r="P141" s="17">
        <f t="shared" si="8"/>
        <v>-0.99</v>
      </c>
      <c r="Q141" t="s">
        <v>49</v>
      </c>
      <c r="R141" t="s">
        <v>49</v>
      </c>
      <c r="S141" s="13" t="s">
        <v>381</v>
      </c>
      <c r="T141" s="13" t="s">
        <v>381</v>
      </c>
      <c r="U141" s="13" t="s">
        <v>260</v>
      </c>
      <c r="V141" s="13" t="s">
        <v>260</v>
      </c>
      <c r="W141" t="s">
        <v>64</v>
      </c>
      <c r="X141" s="15" t="s">
        <v>382</v>
      </c>
    </row>
    <row r="142" spans="1:24" ht="40.5">
      <c r="A142" s="4" t="s">
        <v>383</v>
      </c>
      <c r="B142" t="s">
        <v>44</v>
      </c>
      <c r="C142" t="s">
        <v>45</v>
      </c>
      <c r="D142" s="13" t="s">
        <v>384</v>
      </c>
      <c r="E142" t="s">
        <v>47</v>
      </c>
      <c r="F142" t="s">
        <v>84</v>
      </c>
      <c r="G142" t="s">
        <v>48</v>
      </c>
      <c r="H142" s="9">
        <v>133500000</v>
      </c>
      <c r="I142" s="9">
        <v>133500000</v>
      </c>
      <c r="J142" s="9">
        <f t="shared" si="6"/>
        <v>0</v>
      </c>
      <c r="K142" s="9">
        <v>133282251</v>
      </c>
      <c r="L142" s="9">
        <v>0</v>
      </c>
      <c r="M142" s="9">
        <f t="shared" si="7"/>
        <v>-133282251</v>
      </c>
      <c r="N142" s="17">
        <v>1</v>
      </c>
      <c r="O142" s="17">
        <v>0</v>
      </c>
      <c r="P142" s="17">
        <f t="shared" si="8"/>
        <v>-1</v>
      </c>
      <c r="Q142" t="s">
        <v>49</v>
      </c>
      <c r="R142" t="s">
        <v>49</v>
      </c>
      <c r="S142" s="13" t="s">
        <v>385</v>
      </c>
      <c r="T142" s="13" t="s">
        <v>385</v>
      </c>
      <c r="U142" s="13" t="s">
        <v>260</v>
      </c>
      <c r="V142" s="13" t="s">
        <v>260</v>
      </c>
      <c r="W142" t="s">
        <v>64</v>
      </c>
      <c r="X142" s="15" t="s">
        <v>386</v>
      </c>
    </row>
    <row r="143" spans="1:24" ht="27">
      <c r="A143" s="4" t="s">
        <v>387</v>
      </c>
      <c r="B143" t="s">
        <v>44</v>
      </c>
      <c r="C143" t="s">
        <v>45</v>
      </c>
      <c r="D143" s="13" t="s">
        <v>208</v>
      </c>
      <c r="E143" t="s">
        <v>56</v>
      </c>
      <c r="F143" t="s">
        <v>329</v>
      </c>
      <c r="G143" t="s">
        <v>329</v>
      </c>
      <c r="H143" s="9">
        <v>12000000</v>
      </c>
      <c r="I143" s="9">
        <v>12000000</v>
      </c>
      <c r="J143" s="9">
        <f t="shared" si="6"/>
        <v>0</v>
      </c>
      <c r="K143" s="9">
        <v>11955588</v>
      </c>
      <c r="L143" s="9">
        <v>11955588</v>
      </c>
      <c r="M143" s="9">
        <f t="shared" si="7"/>
        <v>0</v>
      </c>
      <c r="N143" s="17">
        <v>1</v>
      </c>
      <c r="O143" s="17">
        <v>1</v>
      </c>
      <c r="P143" s="17">
        <f t="shared" si="8"/>
        <v>0</v>
      </c>
      <c r="Q143" t="s">
        <v>49</v>
      </c>
      <c r="R143" t="s">
        <v>49</v>
      </c>
      <c r="S143" s="13" t="s">
        <v>388</v>
      </c>
      <c r="T143" s="13" t="s">
        <v>388</v>
      </c>
      <c r="U143" s="13" t="s">
        <v>260</v>
      </c>
      <c r="V143" s="13" t="s">
        <v>260</v>
      </c>
      <c r="W143" t="s">
        <v>52</v>
      </c>
      <c r="X143" s="15" t="s">
        <v>53</v>
      </c>
    </row>
    <row r="144" spans="1:24" ht="27">
      <c r="A144" s="4" t="s">
        <v>389</v>
      </c>
      <c r="B144" t="s">
        <v>44</v>
      </c>
      <c r="C144" t="s">
        <v>45</v>
      </c>
      <c r="D144" s="13" t="s">
        <v>390</v>
      </c>
      <c r="E144" t="s">
        <v>56</v>
      </c>
      <c r="F144" t="s">
        <v>329</v>
      </c>
      <c r="G144" t="s">
        <v>329</v>
      </c>
      <c r="H144" s="9">
        <v>102200000</v>
      </c>
      <c r="I144" s="9">
        <v>102200000</v>
      </c>
      <c r="J144" s="9">
        <f t="shared" si="6"/>
        <v>0</v>
      </c>
      <c r="K144" s="9">
        <v>96852384</v>
      </c>
      <c r="L144" s="9">
        <v>96852384</v>
      </c>
      <c r="M144" s="9">
        <f t="shared" si="7"/>
        <v>0</v>
      </c>
      <c r="N144" s="17">
        <v>0.95</v>
      </c>
      <c r="O144" s="17">
        <v>0.95</v>
      </c>
      <c r="P144" s="17">
        <f t="shared" si="8"/>
        <v>0</v>
      </c>
      <c r="Q144" t="s">
        <v>49</v>
      </c>
      <c r="R144" t="s">
        <v>49</v>
      </c>
      <c r="S144" s="13" t="s">
        <v>391</v>
      </c>
      <c r="T144" s="13" t="s">
        <v>391</v>
      </c>
      <c r="U144" s="13" t="s">
        <v>260</v>
      </c>
      <c r="V144" s="13" t="s">
        <v>260</v>
      </c>
      <c r="W144" t="s">
        <v>52</v>
      </c>
      <c r="X144" s="15" t="s">
        <v>53</v>
      </c>
    </row>
    <row r="145" spans="1:24" ht="40.5">
      <c r="A145" s="4" t="s">
        <v>392</v>
      </c>
      <c r="B145" t="s">
        <v>44</v>
      </c>
      <c r="C145" t="s">
        <v>45</v>
      </c>
      <c r="D145" s="13" t="s">
        <v>83</v>
      </c>
      <c r="E145" t="s">
        <v>47</v>
      </c>
      <c r="F145" t="s">
        <v>48</v>
      </c>
      <c r="G145" t="s">
        <v>48</v>
      </c>
      <c r="H145" s="9">
        <v>153000000</v>
      </c>
      <c r="I145" s="9">
        <v>153000000</v>
      </c>
      <c r="J145" s="9">
        <f t="shared" si="6"/>
        <v>0</v>
      </c>
      <c r="K145" s="9">
        <v>0</v>
      </c>
      <c r="L145" s="9">
        <v>0</v>
      </c>
      <c r="M145" s="9">
        <f t="shared" si="7"/>
        <v>0</v>
      </c>
      <c r="N145" s="17">
        <v>0</v>
      </c>
      <c r="O145" s="17">
        <v>0</v>
      </c>
      <c r="P145" s="17">
        <f t="shared" si="8"/>
        <v>0</v>
      </c>
      <c r="Q145" t="s">
        <v>49</v>
      </c>
      <c r="R145" t="s">
        <v>49</v>
      </c>
      <c r="S145" s="13" t="s">
        <v>393</v>
      </c>
      <c r="T145" s="13" t="s">
        <v>393</v>
      </c>
      <c r="U145" s="13" t="s">
        <v>350</v>
      </c>
      <c r="V145" s="13" t="s">
        <v>350</v>
      </c>
      <c r="W145" t="s">
        <v>52</v>
      </c>
      <c r="X145" s="15" t="s">
        <v>53</v>
      </c>
    </row>
    <row r="146" spans="1:24" ht="40.5">
      <c r="A146" s="4" t="s">
        <v>394</v>
      </c>
      <c r="B146" t="s">
        <v>44</v>
      </c>
      <c r="C146" t="s">
        <v>45</v>
      </c>
      <c r="D146" s="13" t="s">
        <v>69</v>
      </c>
      <c r="E146" t="s">
        <v>47</v>
      </c>
      <c r="F146" t="s">
        <v>48</v>
      </c>
      <c r="G146" t="s">
        <v>48</v>
      </c>
      <c r="H146" s="9">
        <v>131400000</v>
      </c>
      <c r="I146" s="9">
        <v>131400000</v>
      </c>
      <c r="J146" s="9">
        <f t="shared" si="6"/>
        <v>0</v>
      </c>
      <c r="K146" s="9">
        <v>0</v>
      </c>
      <c r="L146" s="9">
        <v>0</v>
      </c>
      <c r="M146" s="9">
        <f t="shared" si="7"/>
        <v>0</v>
      </c>
      <c r="N146" s="17">
        <v>0</v>
      </c>
      <c r="O146" s="17">
        <v>0</v>
      </c>
      <c r="P146" s="17">
        <f t="shared" si="8"/>
        <v>0</v>
      </c>
      <c r="Q146" t="s">
        <v>49</v>
      </c>
      <c r="R146" t="s">
        <v>49</v>
      </c>
      <c r="S146" s="13" t="s">
        <v>395</v>
      </c>
      <c r="T146" s="13" t="s">
        <v>395</v>
      </c>
      <c r="U146" s="13" t="s">
        <v>396</v>
      </c>
      <c r="V146" s="13" t="s">
        <v>396</v>
      </c>
      <c r="W146" t="s">
        <v>52</v>
      </c>
      <c r="X146" s="15" t="s">
        <v>53</v>
      </c>
    </row>
    <row r="147" spans="1:24" ht="40.5">
      <c r="A147" s="4" t="s">
        <v>397</v>
      </c>
      <c r="B147" t="s">
        <v>44</v>
      </c>
      <c r="C147" t="s">
        <v>45</v>
      </c>
      <c r="D147" s="13" t="s">
        <v>72</v>
      </c>
      <c r="E147" t="s">
        <v>47</v>
      </c>
      <c r="F147" t="s">
        <v>48</v>
      </c>
      <c r="G147" t="s">
        <v>48</v>
      </c>
      <c r="H147" s="9">
        <v>58400000</v>
      </c>
      <c r="I147" s="9">
        <v>58400000</v>
      </c>
      <c r="J147" s="9">
        <f t="shared" si="6"/>
        <v>0</v>
      </c>
      <c r="K147" s="9">
        <v>0</v>
      </c>
      <c r="L147" s="9">
        <v>0</v>
      </c>
      <c r="M147" s="9">
        <f t="shared" si="7"/>
        <v>0</v>
      </c>
      <c r="N147" s="17">
        <v>0</v>
      </c>
      <c r="O147" s="17">
        <v>0</v>
      </c>
      <c r="P147" s="17">
        <f t="shared" si="8"/>
        <v>0</v>
      </c>
      <c r="Q147" t="s">
        <v>49</v>
      </c>
      <c r="R147" t="s">
        <v>49</v>
      </c>
      <c r="S147" s="13" t="s">
        <v>398</v>
      </c>
      <c r="T147" s="13" t="s">
        <v>398</v>
      </c>
      <c r="U147" s="13" t="s">
        <v>350</v>
      </c>
      <c r="V147" s="13" t="s">
        <v>350</v>
      </c>
      <c r="W147" t="s">
        <v>52</v>
      </c>
      <c r="X147" s="15" t="s">
        <v>53</v>
      </c>
    </row>
    <row r="148" spans="1:24" ht="40.5">
      <c r="A148" s="4" t="s">
        <v>399</v>
      </c>
      <c r="B148" t="s">
        <v>44</v>
      </c>
      <c r="C148" t="s">
        <v>45</v>
      </c>
      <c r="D148" s="13" t="s">
        <v>67</v>
      </c>
      <c r="E148" t="s">
        <v>47</v>
      </c>
      <c r="F148" t="s">
        <v>48</v>
      </c>
      <c r="G148" t="s">
        <v>48</v>
      </c>
      <c r="H148" s="9">
        <v>102200000</v>
      </c>
      <c r="I148" s="9">
        <v>102200000</v>
      </c>
      <c r="J148" s="9">
        <f t="shared" si="6"/>
        <v>0</v>
      </c>
      <c r="K148" s="9">
        <v>0</v>
      </c>
      <c r="L148" s="9">
        <v>0</v>
      </c>
      <c r="M148" s="9">
        <f t="shared" si="7"/>
        <v>0</v>
      </c>
      <c r="N148" s="17">
        <v>0</v>
      </c>
      <c r="O148" s="17">
        <v>0</v>
      </c>
      <c r="P148" s="17">
        <f t="shared" si="8"/>
        <v>0</v>
      </c>
      <c r="Q148" t="s">
        <v>49</v>
      </c>
      <c r="R148" t="s">
        <v>49</v>
      </c>
      <c r="S148" s="13" t="s">
        <v>400</v>
      </c>
      <c r="T148" s="13" t="s">
        <v>400</v>
      </c>
      <c r="U148" s="13" t="s">
        <v>350</v>
      </c>
      <c r="V148" s="13" t="s">
        <v>350</v>
      </c>
      <c r="W148" t="s">
        <v>52</v>
      </c>
      <c r="X148" s="15" t="s">
        <v>53</v>
      </c>
    </row>
    <row r="149" spans="1:24" ht="27">
      <c r="A149" s="4" t="s">
        <v>401</v>
      </c>
      <c r="B149" t="s">
        <v>44</v>
      </c>
      <c r="C149" t="s">
        <v>45</v>
      </c>
      <c r="D149" s="13" t="s">
        <v>83</v>
      </c>
      <c r="E149" t="s">
        <v>47</v>
      </c>
      <c r="F149" t="s">
        <v>48</v>
      </c>
      <c r="G149" t="s">
        <v>84</v>
      </c>
      <c r="H149" s="9">
        <v>438000000</v>
      </c>
      <c r="I149" s="9">
        <v>438000000</v>
      </c>
      <c r="J149" s="9">
        <f t="shared" si="6"/>
        <v>0</v>
      </c>
      <c r="K149" s="9">
        <v>0</v>
      </c>
      <c r="L149" s="9">
        <v>50116529</v>
      </c>
      <c r="M149" s="9">
        <f t="shared" si="7"/>
        <v>50116529</v>
      </c>
      <c r="N149" s="17">
        <v>0</v>
      </c>
      <c r="O149" s="17">
        <v>0.11</v>
      </c>
      <c r="P149" s="17">
        <f t="shared" si="8"/>
        <v>0.11</v>
      </c>
      <c r="Q149" t="s">
        <v>49</v>
      </c>
      <c r="R149" t="s">
        <v>49</v>
      </c>
      <c r="S149" s="13" t="s">
        <v>402</v>
      </c>
      <c r="T149" s="13" t="s">
        <v>402</v>
      </c>
      <c r="U149" s="13" t="s">
        <v>260</v>
      </c>
      <c r="V149" s="13" t="s">
        <v>260</v>
      </c>
      <c r="W149" t="s">
        <v>64</v>
      </c>
      <c r="X149" s="15" t="s">
        <v>403</v>
      </c>
    </row>
    <row r="150" spans="1:24" ht="27">
      <c r="A150" s="4" t="s">
        <v>404</v>
      </c>
      <c r="B150" t="s">
        <v>44</v>
      </c>
      <c r="C150" t="s">
        <v>45</v>
      </c>
      <c r="D150" s="13" t="s">
        <v>80</v>
      </c>
      <c r="E150" t="s">
        <v>47</v>
      </c>
      <c r="F150" t="s">
        <v>48</v>
      </c>
      <c r="G150" t="s">
        <v>48</v>
      </c>
      <c r="H150" s="9">
        <v>160000</v>
      </c>
      <c r="I150" s="9">
        <v>160000</v>
      </c>
      <c r="J150" s="9">
        <f t="shared" si="6"/>
        <v>0</v>
      </c>
      <c r="K150" s="9">
        <v>0</v>
      </c>
      <c r="L150" s="9">
        <v>0</v>
      </c>
      <c r="M150" s="9">
        <f t="shared" si="7"/>
        <v>0</v>
      </c>
      <c r="N150" s="17">
        <v>0</v>
      </c>
      <c r="O150" s="17">
        <v>0</v>
      </c>
      <c r="P150" s="17">
        <f t="shared" si="8"/>
        <v>0</v>
      </c>
      <c r="Q150" t="s">
        <v>49</v>
      </c>
      <c r="R150" t="s">
        <v>49</v>
      </c>
      <c r="S150" s="13" t="s">
        <v>405</v>
      </c>
      <c r="T150" s="13" t="s">
        <v>405</v>
      </c>
      <c r="U150" s="13" t="s">
        <v>260</v>
      </c>
      <c r="V150" s="13" t="s">
        <v>260</v>
      </c>
      <c r="W150" t="s">
        <v>52</v>
      </c>
      <c r="X150" s="15" t="s">
        <v>53</v>
      </c>
    </row>
    <row r="151" spans="1:24" ht="27">
      <c r="A151" s="4" t="s">
        <v>406</v>
      </c>
      <c r="B151" t="s">
        <v>44</v>
      </c>
      <c r="C151" t="s">
        <v>45</v>
      </c>
      <c r="D151" s="13" t="s">
        <v>407</v>
      </c>
      <c r="E151" t="s">
        <v>47</v>
      </c>
      <c r="F151" t="s">
        <v>48</v>
      </c>
      <c r="G151" t="s">
        <v>48</v>
      </c>
      <c r="H151" s="9">
        <v>1000000</v>
      </c>
      <c r="I151" s="9">
        <v>1000000</v>
      </c>
      <c r="J151" s="9">
        <f t="shared" si="6"/>
        <v>0</v>
      </c>
      <c r="K151" s="9">
        <v>0</v>
      </c>
      <c r="L151" s="9">
        <v>0</v>
      </c>
      <c r="M151" s="9">
        <f t="shared" si="7"/>
        <v>0</v>
      </c>
      <c r="N151" s="17">
        <v>0</v>
      </c>
      <c r="O151" s="17">
        <v>0</v>
      </c>
      <c r="P151" s="17">
        <f t="shared" si="8"/>
        <v>0</v>
      </c>
      <c r="Q151" t="s">
        <v>49</v>
      </c>
      <c r="R151" t="s">
        <v>49</v>
      </c>
      <c r="S151" s="13" t="s">
        <v>408</v>
      </c>
      <c r="T151" s="13" t="s">
        <v>408</v>
      </c>
      <c r="U151" s="13" t="s">
        <v>260</v>
      </c>
      <c r="V151" s="13" t="s">
        <v>260</v>
      </c>
      <c r="W151" t="s">
        <v>52</v>
      </c>
      <c r="X151" s="15" t="s">
        <v>53</v>
      </c>
    </row>
    <row r="152" spans="1:24" ht="40.5">
      <c r="A152" s="4" t="s">
        <v>409</v>
      </c>
      <c r="B152" t="s">
        <v>44</v>
      </c>
      <c r="C152" t="s">
        <v>45</v>
      </c>
      <c r="D152" s="13" t="s">
        <v>72</v>
      </c>
      <c r="E152" t="s">
        <v>47</v>
      </c>
      <c r="F152" t="s">
        <v>48</v>
      </c>
      <c r="G152" t="s">
        <v>48</v>
      </c>
      <c r="H152" s="9">
        <v>1900000</v>
      </c>
      <c r="I152" s="9">
        <v>1900000</v>
      </c>
      <c r="J152" s="9">
        <f t="shared" si="6"/>
        <v>0</v>
      </c>
      <c r="K152" s="9">
        <v>0</v>
      </c>
      <c r="L152" s="9">
        <v>0</v>
      </c>
      <c r="M152" s="9">
        <f t="shared" si="7"/>
        <v>0</v>
      </c>
      <c r="N152" s="17">
        <v>0</v>
      </c>
      <c r="O152" s="17">
        <v>0</v>
      </c>
      <c r="P152" s="17">
        <f t="shared" si="8"/>
        <v>0</v>
      </c>
      <c r="Q152" t="s">
        <v>49</v>
      </c>
      <c r="R152" t="s">
        <v>49</v>
      </c>
      <c r="S152" s="13" t="s">
        <v>410</v>
      </c>
      <c r="T152" s="13" t="s">
        <v>410</v>
      </c>
      <c r="U152" s="13" t="s">
        <v>171</v>
      </c>
      <c r="V152" s="13" t="s">
        <v>171</v>
      </c>
      <c r="W152" t="s">
        <v>52</v>
      </c>
      <c r="X152" s="15" t="s">
        <v>53</v>
      </c>
    </row>
    <row r="153" spans="1:24" ht="27">
      <c r="A153" s="4" t="s">
        <v>411</v>
      </c>
      <c r="B153" t="s">
        <v>44</v>
      </c>
      <c r="C153" t="s">
        <v>45</v>
      </c>
      <c r="D153" s="13" t="s">
        <v>69</v>
      </c>
      <c r="E153" t="s">
        <v>47</v>
      </c>
      <c r="F153" t="s">
        <v>48</v>
      </c>
      <c r="G153" t="s">
        <v>48</v>
      </c>
      <c r="H153" s="9">
        <v>4275000</v>
      </c>
      <c r="I153" s="9">
        <v>4275000</v>
      </c>
      <c r="J153" s="9">
        <f t="shared" si="6"/>
        <v>0</v>
      </c>
      <c r="K153" s="9">
        <v>0</v>
      </c>
      <c r="L153" s="9">
        <v>0</v>
      </c>
      <c r="M153" s="9">
        <f t="shared" si="7"/>
        <v>0</v>
      </c>
      <c r="N153" s="17">
        <v>0</v>
      </c>
      <c r="O153" s="17">
        <v>0</v>
      </c>
      <c r="P153" s="17">
        <f t="shared" si="8"/>
        <v>0</v>
      </c>
      <c r="Q153" t="s">
        <v>49</v>
      </c>
      <c r="R153" t="s">
        <v>49</v>
      </c>
      <c r="S153" s="13" t="s">
        <v>412</v>
      </c>
      <c r="T153" s="13" t="s">
        <v>412</v>
      </c>
      <c r="U153" s="13" t="s">
        <v>260</v>
      </c>
      <c r="V153" s="13" t="s">
        <v>260</v>
      </c>
      <c r="W153" t="s">
        <v>52</v>
      </c>
      <c r="X153" s="15" t="s">
        <v>53</v>
      </c>
    </row>
    <row r="154" spans="1:24" ht="54">
      <c r="A154" s="4" t="s">
        <v>413</v>
      </c>
      <c r="B154" t="s">
        <v>44</v>
      </c>
      <c r="C154" t="s">
        <v>45</v>
      </c>
      <c r="D154" s="13" t="s">
        <v>414</v>
      </c>
      <c r="E154" t="s">
        <v>47</v>
      </c>
      <c r="F154" t="s">
        <v>48</v>
      </c>
      <c r="G154" t="s">
        <v>84</v>
      </c>
      <c r="H154" s="9">
        <v>85500000</v>
      </c>
      <c r="I154" s="9">
        <v>111500000</v>
      </c>
      <c r="J154" s="9">
        <f t="shared" si="6"/>
        <v>26000000</v>
      </c>
      <c r="K154" s="9">
        <v>0</v>
      </c>
      <c r="L154" s="9">
        <v>44767920</v>
      </c>
      <c r="M154" s="9">
        <f t="shared" si="7"/>
        <v>44767920</v>
      </c>
      <c r="N154" s="17">
        <v>0</v>
      </c>
      <c r="O154" s="17">
        <v>0.4</v>
      </c>
      <c r="P154" s="17">
        <f t="shared" si="8"/>
        <v>0.4</v>
      </c>
      <c r="Q154" t="s">
        <v>49</v>
      </c>
      <c r="R154" t="s">
        <v>49</v>
      </c>
      <c r="S154" s="13" t="s">
        <v>415</v>
      </c>
      <c r="T154" s="13" t="s">
        <v>415</v>
      </c>
      <c r="U154" s="13" t="s">
        <v>350</v>
      </c>
      <c r="V154" s="13" t="s">
        <v>350</v>
      </c>
      <c r="W154" t="s">
        <v>64</v>
      </c>
      <c r="X154" s="15" t="s">
        <v>416</v>
      </c>
    </row>
    <row r="155" spans="1:24" ht="27">
      <c r="A155" s="4" t="s">
        <v>417</v>
      </c>
      <c r="B155" t="s">
        <v>44</v>
      </c>
      <c r="C155" t="s">
        <v>45</v>
      </c>
      <c r="D155" s="13" t="s">
        <v>418</v>
      </c>
      <c r="E155" t="s">
        <v>47</v>
      </c>
      <c r="F155" t="s">
        <v>48</v>
      </c>
      <c r="H155" s="9">
        <v>20160000</v>
      </c>
      <c r="I155" s="9"/>
      <c r="J155" s="9" t="str">
        <f t="shared" si="6"/>
        <v/>
      </c>
      <c r="K155" s="9">
        <v>0</v>
      </c>
      <c r="L155" s="9"/>
      <c r="M155" s="9" t="str">
        <f t="shared" si="7"/>
        <v/>
      </c>
      <c r="N155" s="17">
        <v>0</v>
      </c>
      <c r="O155" s="17"/>
      <c r="P155" s="17" t="str">
        <f t="shared" si="8"/>
        <v/>
      </c>
      <c r="Q155" t="s">
        <v>49</v>
      </c>
      <c r="S155" s="13" t="s">
        <v>419</v>
      </c>
      <c r="T155" s="13"/>
      <c r="U155" s="13" t="s">
        <v>260</v>
      </c>
      <c r="V155" s="13"/>
      <c r="W155" t="s">
        <v>94</v>
      </c>
      <c r="X155" s="15" t="s">
        <v>95</v>
      </c>
    </row>
    <row r="156" spans="1:24" ht="27">
      <c r="A156" s="4" t="s">
        <v>420</v>
      </c>
      <c r="B156" t="s">
        <v>44</v>
      </c>
      <c r="C156" t="s">
        <v>45</v>
      </c>
      <c r="D156" s="13" t="s">
        <v>421</v>
      </c>
      <c r="E156" t="s">
        <v>47</v>
      </c>
      <c r="F156" t="s">
        <v>48</v>
      </c>
      <c r="G156" t="s">
        <v>48</v>
      </c>
      <c r="H156" s="9">
        <v>4800000</v>
      </c>
      <c r="I156" s="9">
        <v>4800000</v>
      </c>
      <c r="J156" s="9">
        <f t="shared" si="6"/>
        <v>0</v>
      </c>
      <c r="K156" s="9">
        <v>0</v>
      </c>
      <c r="L156" s="9">
        <v>0</v>
      </c>
      <c r="M156" s="9">
        <f t="shared" si="7"/>
        <v>0</v>
      </c>
      <c r="N156" s="17">
        <v>0</v>
      </c>
      <c r="O156" s="17">
        <v>0</v>
      </c>
      <c r="P156" s="17">
        <f t="shared" si="8"/>
        <v>0</v>
      </c>
      <c r="Q156" t="s">
        <v>49</v>
      </c>
      <c r="R156" t="s">
        <v>49</v>
      </c>
      <c r="S156" s="13" t="s">
        <v>422</v>
      </c>
      <c r="T156" s="13" t="s">
        <v>422</v>
      </c>
      <c r="U156" s="13" t="s">
        <v>260</v>
      </c>
      <c r="V156" s="13" t="s">
        <v>260</v>
      </c>
      <c r="W156" t="s">
        <v>52</v>
      </c>
      <c r="X156" s="15" t="s">
        <v>53</v>
      </c>
    </row>
    <row r="157" spans="1:24" ht="27">
      <c r="A157" s="4" t="s">
        <v>423</v>
      </c>
      <c r="B157" t="s">
        <v>44</v>
      </c>
      <c r="C157" t="s">
        <v>45</v>
      </c>
      <c r="D157" s="13" t="s">
        <v>424</v>
      </c>
      <c r="E157" t="s">
        <v>47</v>
      </c>
      <c r="F157" t="s">
        <v>48</v>
      </c>
      <c r="G157" t="s">
        <v>48</v>
      </c>
      <c r="H157" s="9">
        <v>4800000</v>
      </c>
      <c r="I157" s="9">
        <v>4800000</v>
      </c>
      <c r="J157" s="9">
        <f t="shared" si="6"/>
        <v>0</v>
      </c>
      <c r="K157" s="9">
        <v>0</v>
      </c>
      <c r="L157" s="9">
        <v>0</v>
      </c>
      <c r="M157" s="9">
        <f t="shared" si="7"/>
        <v>0</v>
      </c>
      <c r="N157" s="17">
        <v>0</v>
      </c>
      <c r="O157" s="17">
        <v>0</v>
      </c>
      <c r="P157" s="17">
        <f t="shared" si="8"/>
        <v>0</v>
      </c>
      <c r="Q157" t="s">
        <v>49</v>
      </c>
      <c r="R157" t="s">
        <v>49</v>
      </c>
      <c r="S157" s="13" t="s">
        <v>422</v>
      </c>
      <c r="T157" s="13" t="s">
        <v>422</v>
      </c>
      <c r="U157" s="13" t="s">
        <v>260</v>
      </c>
      <c r="V157" s="13" t="s">
        <v>260</v>
      </c>
      <c r="W157" t="s">
        <v>52</v>
      </c>
      <c r="X157" s="15" t="s">
        <v>53</v>
      </c>
    </row>
    <row r="158" spans="1:24" ht="27">
      <c r="A158" s="4" t="s">
        <v>425</v>
      </c>
      <c r="B158" t="s">
        <v>44</v>
      </c>
      <c r="C158" t="s">
        <v>45</v>
      </c>
      <c r="D158" s="13" t="s">
        <v>208</v>
      </c>
      <c r="E158" t="s">
        <v>47</v>
      </c>
      <c r="F158" t="s">
        <v>48</v>
      </c>
      <c r="G158" t="s">
        <v>48</v>
      </c>
      <c r="H158" s="9">
        <v>21600000</v>
      </c>
      <c r="I158" s="9">
        <v>21600000</v>
      </c>
      <c r="J158" s="9">
        <f t="shared" si="6"/>
        <v>0</v>
      </c>
      <c r="K158" s="9">
        <v>0</v>
      </c>
      <c r="L158" s="9">
        <v>0</v>
      </c>
      <c r="M158" s="9">
        <f t="shared" si="7"/>
        <v>0</v>
      </c>
      <c r="N158" s="17">
        <v>0</v>
      </c>
      <c r="O158" s="17">
        <v>0</v>
      </c>
      <c r="P158" s="17">
        <f t="shared" si="8"/>
        <v>0</v>
      </c>
      <c r="Q158" t="s">
        <v>49</v>
      </c>
      <c r="R158" t="s">
        <v>49</v>
      </c>
      <c r="S158" s="13" t="s">
        <v>426</v>
      </c>
      <c r="T158" s="13" t="s">
        <v>426</v>
      </c>
      <c r="U158" s="13" t="s">
        <v>260</v>
      </c>
      <c r="V158" s="13" t="s">
        <v>260</v>
      </c>
      <c r="W158" t="s">
        <v>52</v>
      </c>
      <c r="X158" s="15" t="s">
        <v>53</v>
      </c>
    </row>
    <row r="159" spans="1:24" ht="27">
      <c r="A159" s="4" t="s">
        <v>427</v>
      </c>
      <c r="B159" t="s">
        <v>44</v>
      </c>
      <c r="C159" t="s">
        <v>45</v>
      </c>
      <c r="D159" s="13" t="s">
        <v>428</v>
      </c>
      <c r="E159" t="s">
        <v>47</v>
      </c>
      <c r="F159" t="s">
        <v>48</v>
      </c>
      <c r="G159" t="s">
        <v>48</v>
      </c>
      <c r="H159" s="9">
        <v>750000</v>
      </c>
      <c r="I159" s="9">
        <v>750000</v>
      </c>
      <c r="J159" s="9">
        <f t="shared" si="6"/>
        <v>0</v>
      </c>
      <c r="K159" s="9">
        <v>0</v>
      </c>
      <c r="L159" s="9">
        <v>0</v>
      </c>
      <c r="M159" s="9">
        <f t="shared" si="7"/>
        <v>0</v>
      </c>
      <c r="N159" s="17">
        <v>0</v>
      </c>
      <c r="O159" s="17">
        <v>0</v>
      </c>
      <c r="P159" s="17">
        <f t="shared" si="8"/>
        <v>0</v>
      </c>
      <c r="Q159" t="s">
        <v>49</v>
      </c>
      <c r="R159" t="s">
        <v>49</v>
      </c>
      <c r="S159" s="13" t="s">
        <v>429</v>
      </c>
      <c r="T159" s="13" t="s">
        <v>429</v>
      </c>
      <c r="U159" s="13" t="s">
        <v>260</v>
      </c>
      <c r="V159" s="13" t="s">
        <v>260</v>
      </c>
      <c r="W159" t="s">
        <v>52</v>
      </c>
      <c r="X159" s="15" t="s">
        <v>53</v>
      </c>
    </row>
    <row r="160" spans="1:24" ht="27">
      <c r="A160" s="4" t="s">
        <v>430</v>
      </c>
      <c r="B160" t="s">
        <v>44</v>
      </c>
      <c r="C160" t="s">
        <v>45</v>
      </c>
      <c r="D160" s="13" t="s">
        <v>431</v>
      </c>
      <c r="E160" t="s">
        <v>47</v>
      </c>
      <c r="F160" t="s">
        <v>48</v>
      </c>
      <c r="G160" t="s">
        <v>48</v>
      </c>
      <c r="H160" s="9">
        <v>7270000</v>
      </c>
      <c r="I160" s="9">
        <v>7270000</v>
      </c>
      <c r="J160" s="9">
        <f t="shared" si="6"/>
        <v>0</v>
      </c>
      <c r="K160" s="9">
        <v>0</v>
      </c>
      <c r="L160" s="9">
        <v>0</v>
      </c>
      <c r="M160" s="9">
        <f t="shared" si="7"/>
        <v>0</v>
      </c>
      <c r="N160" s="17">
        <v>0</v>
      </c>
      <c r="O160" s="17">
        <v>0</v>
      </c>
      <c r="P160" s="17">
        <f t="shared" si="8"/>
        <v>0</v>
      </c>
      <c r="Q160" t="s">
        <v>49</v>
      </c>
      <c r="R160" t="s">
        <v>49</v>
      </c>
      <c r="S160" s="13" t="s">
        <v>432</v>
      </c>
      <c r="T160" s="13" t="s">
        <v>432</v>
      </c>
      <c r="U160" s="13" t="s">
        <v>260</v>
      </c>
      <c r="V160" s="13" t="s">
        <v>260</v>
      </c>
      <c r="W160" t="s">
        <v>52</v>
      </c>
      <c r="X160" s="15" t="s">
        <v>53</v>
      </c>
    </row>
    <row r="161" spans="1:24" ht="27">
      <c r="A161" s="4" t="s">
        <v>433</v>
      </c>
      <c r="B161" t="s">
        <v>44</v>
      </c>
      <c r="C161" t="s">
        <v>45</v>
      </c>
      <c r="D161" s="13" t="s">
        <v>208</v>
      </c>
      <c r="E161" t="s">
        <v>47</v>
      </c>
      <c r="F161" t="s">
        <v>48</v>
      </c>
      <c r="G161" t="s">
        <v>48</v>
      </c>
      <c r="H161" s="9">
        <v>4800000</v>
      </c>
      <c r="I161" s="9">
        <v>4800000</v>
      </c>
      <c r="J161" s="9">
        <f t="shared" si="6"/>
        <v>0</v>
      </c>
      <c r="K161" s="9">
        <v>0</v>
      </c>
      <c r="L161" s="9">
        <v>0</v>
      </c>
      <c r="M161" s="9">
        <f t="shared" si="7"/>
        <v>0</v>
      </c>
      <c r="N161" s="17">
        <v>0</v>
      </c>
      <c r="O161" s="17">
        <v>0</v>
      </c>
      <c r="P161" s="17">
        <f t="shared" si="8"/>
        <v>0</v>
      </c>
      <c r="Q161" t="s">
        <v>49</v>
      </c>
      <c r="R161" t="s">
        <v>49</v>
      </c>
      <c r="S161" s="13" t="s">
        <v>422</v>
      </c>
      <c r="T161" s="13" t="s">
        <v>422</v>
      </c>
      <c r="U161" s="13" t="s">
        <v>260</v>
      </c>
      <c r="V161" s="13" t="s">
        <v>260</v>
      </c>
      <c r="W161" t="s">
        <v>52</v>
      </c>
      <c r="X161" s="15" t="s">
        <v>53</v>
      </c>
    </row>
    <row r="162" spans="1:24" ht="27">
      <c r="A162" s="4" t="s">
        <v>434</v>
      </c>
      <c r="B162" t="s">
        <v>44</v>
      </c>
      <c r="C162" t="s">
        <v>45</v>
      </c>
      <c r="D162" s="13" t="s">
        <v>435</v>
      </c>
      <c r="E162" t="s">
        <v>47</v>
      </c>
      <c r="F162" t="s">
        <v>48</v>
      </c>
      <c r="G162" t="s">
        <v>48</v>
      </c>
      <c r="H162" s="9">
        <v>1250000</v>
      </c>
      <c r="I162" s="9">
        <v>1250000</v>
      </c>
      <c r="J162" s="9">
        <f t="shared" si="6"/>
        <v>0</v>
      </c>
      <c r="K162" s="9">
        <v>0</v>
      </c>
      <c r="L162" s="9">
        <v>0</v>
      </c>
      <c r="M162" s="9">
        <f t="shared" si="7"/>
        <v>0</v>
      </c>
      <c r="N162" s="17">
        <v>0</v>
      </c>
      <c r="O162" s="17">
        <v>0</v>
      </c>
      <c r="P162" s="17">
        <f t="shared" si="8"/>
        <v>0</v>
      </c>
      <c r="Q162" t="s">
        <v>49</v>
      </c>
      <c r="R162" t="s">
        <v>49</v>
      </c>
      <c r="S162" s="13" t="s">
        <v>436</v>
      </c>
      <c r="T162" s="13" t="s">
        <v>436</v>
      </c>
      <c r="U162" s="13" t="s">
        <v>260</v>
      </c>
      <c r="V162" s="13" t="s">
        <v>260</v>
      </c>
      <c r="W162" t="s">
        <v>52</v>
      </c>
      <c r="X162" s="15" t="s">
        <v>53</v>
      </c>
    </row>
    <row r="163" spans="1:24" ht="27">
      <c r="A163" s="4" t="s">
        <v>437</v>
      </c>
      <c r="B163" t="s">
        <v>44</v>
      </c>
      <c r="C163" t="s">
        <v>45</v>
      </c>
      <c r="D163" s="13" t="s">
        <v>438</v>
      </c>
      <c r="E163" t="s">
        <v>47</v>
      </c>
      <c r="F163" t="s">
        <v>48</v>
      </c>
      <c r="G163" t="s">
        <v>48</v>
      </c>
      <c r="H163" s="9">
        <v>5120000</v>
      </c>
      <c r="I163" s="9">
        <v>5120000</v>
      </c>
      <c r="J163" s="9">
        <f t="shared" si="6"/>
        <v>0</v>
      </c>
      <c r="K163" s="9">
        <v>0</v>
      </c>
      <c r="L163" s="9">
        <v>0</v>
      </c>
      <c r="M163" s="9">
        <f t="shared" si="7"/>
        <v>0</v>
      </c>
      <c r="N163" s="17">
        <v>0</v>
      </c>
      <c r="O163" s="17">
        <v>0</v>
      </c>
      <c r="P163" s="17">
        <f t="shared" si="8"/>
        <v>0</v>
      </c>
      <c r="Q163" t="s">
        <v>49</v>
      </c>
      <c r="R163" t="s">
        <v>49</v>
      </c>
      <c r="S163" s="13" t="s">
        <v>439</v>
      </c>
      <c r="T163" s="13" t="s">
        <v>439</v>
      </c>
      <c r="U163" s="13" t="s">
        <v>260</v>
      </c>
      <c r="V163" s="13" t="s">
        <v>260</v>
      </c>
      <c r="W163" t="s">
        <v>52</v>
      </c>
      <c r="X163" s="15" t="s">
        <v>53</v>
      </c>
    </row>
    <row r="164" spans="1:24" ht="27">
      <c r="A164" s="4" t="s">
        <v>440</v>
      </c>
      <c r="B164" t="s">
        <v>44</v>
      </c>
      <c r="C164" t="s">
        <v>45</v>
      </c>
      <c r="D164" s="13" t="s">
        <v>441</v>
      </c>
      <c r="E164" t="s">
        <v>47</v>
      </c>
      <c r="F164" t="s">
        <v>48</v>
      </c>
      <c r="G164" t="s">
        <v>48</v>
      </c>
      <c r="H164" s="9">
        <v>23040000</v>
      </c>
      <c r="I164" s="9">
        <v>23040000</v>
      </c>
      <c r="J164" s="9">
        <f t="shared" si="6"/>
        <v>0</v>
      </c>
      <c r="K164" s="9">
        <v>0</v>
      </c>
      <c r="L164" s="9">
        <v>0</v>
      </c>
      <c r="M164" s="9">
        <f t="shared" si="7"/>
        <v>0</v>
      </c>
      <c r="N164" s="17">
        <v>0</v>
      </c>
      <c r="O164" s="17">
        <v>0</v>
      </c>
      <c r="P164" s="17">
        <f t="shared" si="8"/>
        <v>0</v>
      </c>
      <c r="Q164" t="s">
        <v>49</v>
      </c>
      <c r="R164" t="s">
        <v>49</v>
      </c>
      <c r="S164" s="13" t="s">
        <v>442</v>
      </c>
      <c r="T164" s="13" t="s">
        <v>442</v>
      </c>
      <c r="U164" s="13" t="s">
        <v>260</v>
      </c>
      <c r="V164" s="13" t="s">
        <v>260</v>
      </c>
      <c r="W164" t="s">
        <v>52</v>
      </c>
      <c r="X164" s="15" t="s">
        <v>53</v>
      </c>
    </row>
    <row r="165" spans="1:24" ht="27">
      <c r="A165" s="4" t="s">
        <v>443</v>
      </c>
      <c r="B165" t="s">
        <v>44</v>
      </c>
      <c r="C165" t="s">
        <v>45</v>
      </c>
      <c r="D165" s="13" t="s">
        <v>444</v>
      </c>
      <c r="E165" t="s">
        <v>47</v>
      </c>
      <c r="F165" t="s">
        <v>48</v>
      </c>
      <c r="G165" t="s">
        <v>48</v>
      </c>
      <c r="H165" s="9">
        <v>8000000</v>
      </c>
      <c r="I165" s="9">
        <v>8000000</v>
      </c>
      <c r="J165" s="9">
        <f t="shared" si="6"/>
        <v>0</v>
      </c>
      <c r="K165" s="9">
        <v>0</v>
      </c>
      <c r="L165" s="9">
        <v>0</v>
      </c>
      <c r="M165" s="9">
        <f t="shared" si="7"/>
        <v>0</v>
      </c>
      <c r="N165" s="17">
        <v>0</v>
      </c>
      <c r="O165" s="17">
        <v>0</v>
      </c>
      <c r="P165" s="17">
        <f t="shared" si="8"/>
        <v>0</v>
      </c>
      <c r="Q165" t="s">
        <v>49</v>
      </c>
      <c r="R165" t="s">
        <v>49</v>
      </c>
      <c r="S165" s="13" t="s">
        <v>445</v>
      </c>
      <c r="T165" s="13" t="s">
        <v>445</v>
      </c>
      <c r="U165" s="13" t="s">
        <v>260</v>
      </c>
      <c r="V165" s="13" t="s">
        <v>260</v>
      </c>
      <c r="W165" t="s">
        <v>52</v>
      </c>
      <c r="X165" s="15" t="s">
        <v>53</v>
      </c>
    </row>
    <row r="166" spans="1:24" ht="27">
      <c r="A166" s="4" t="s">
        <v>446</v>
      </c>
      <c r="B166" t="s">
        <v>44</v>
      </c>
      <c r="C166" t="s">
        <v>45</v>
      </c>
      <c r="D166" s="13" t="s">
        <v>447</v>
      </c>
      <c r="E166" t="s">
        <v>47</v>
      </c>
      <c r="F166" t="s">
        <v>48</v>
      </c>
      <c r="G166" t="s">
        <v>48</v>
      </c>
      <c r="H166" s="9">
        <v>800000</v>
      </c>
      <c r="I166" s="9">
        <v>800000</v>
      </c>
      <c r="J166" s="9">
        <f t="shared" si="6"/>
        <v>0</v>
      </c>
      <c r="K166" s="9">
        <v>0</v>
      </c>
      <c r="L166" s="9">
        <v>0</v>
      </c>
      <c r="M166" s="9">
        <f t="shared" si="7"/>
        <v>0</v>
      </c>
      <c r="N166" s="17">
        <v>0</v>
      </c>
      <c r="O166" s="17">
        <v>0</v>
      </c>
      <c r="P166" s="17">
        <f t="shared" si="8"/>
        <v>0</v>
      </c>
      <c r="Q166" t="s">
        <v>49</v>
      </c>
      <c r="R166" t="s">
        <v>49</v>
      </c>
      <c r="S166" s="13" t="s">
        <v>448</v>
      </c>
      <c r="T166" s="13" t="s">
        <v>448</v>
      </c>
      <c r="U166" s="13" t="s">
        <v>260</v>
      </c>
      <c r="V166" s="13" t="s">
        <v>260</v>
      </c>
      <c r="W166" t="s">
        <v>52</v>
      </c>
      <c r="X166" s="15" t="s">
        <v>53</v>
      </c>
    </row>
    <row r="167" spans="1:24" ht="27">
      <c r="A167" s="4" t="s">
        <v>449</v>
      </c>
      <c r="B167" t="s">
        <v>44</v>
      </c>
      <c r="C167" t="s">
        <v>45</v>
      </c>
      <c r="D167" s="13" t="s">
        <v>450</v>
      </c>
      <c r="E167" t="s">
        <v>47</v>
      </c>
      <c r="F167" t="s">
        <v>48</v>
      </c>
      <c r="G167" t="s">
        <v>48</v>
      </c>
      <c r="H167" s="9">
        <v>12000000</v>
      </c>
      <c r="I167" s="9">
        <v>12000000</v>
      </c>
      <c r="J167" s="9">
        <f t="shared" si="6"/>
        <v>0</v>
      </c>
      <c r="K167" s="9">
        <v>0</v>
      </c>
      <c r="L167" s="9">
        <v>0</v>
      </c>
      <c r="M167" s="9">
        <f t="shared" si="7"/>
        <v>0</v>
      </c>
      <c r="N167" s="17">
        <v>0</v>
      </c>
      <c r="O167" s="17">
        <v>0</v>
      </c>
      <c r="P167" s="17">
        <f t="shared" si="8"/>
        <v>0</v>
      </c>
      <c r="Q167" t="s">
        <v>49</v>
      </c>
      <c r="R167" t="s">
        <v>49</v>
      </c>
      <c r="S167" s="13" t="s">
        <v>451</v>
      </c>
      <c r="T167" s="13" t="s">
        <v>451</v>
      </c>
      <c r="U167" s="13" t="s">
        <v>260</v>
      </c>
      <c r="V167" s="13" t="s">
        <v>260</v>
      </c>
      <c r="W167" t="s">
        <v>52</v>
      </c>
      <c r="X167" s="15" t="s">
        <v>53</v>
      </c>
    </row>
    <row r="168" spans="1:24" ht="27">
      <c r="A168" s="4" t="s">
        <v>452</v>
      </c>
      <c r="B168" t="s">
        <v>44</v>
      </c>
      <c r="C168" t="s">
        <v>45</v>
      </c>
      <c r="D168" s="13" t="s">
        <v>453</v>
      </c>
      <c r="E168" t="s">
        <v>47</v>
      </c>
      <c r="F168" t="s">
        <v>48</v>
      </c>
      <c r="G168" t="s">
        <v>48</v>
      </c>
      <c r="H168" s="9">
        <v>16500000</v>
      </c>
      <c r="I168" s="9">
        <v>16500000</v>
      </c>
      <c r="J168" s="9">
        <f t="shared" si="6"/>
        <v>0</v>
      </c>
      <c r="K168" s="9">
        <v>0</v>
      </c>
      <c r="L168" s="9">
        <v>0</v>
      </c>
      <c r="M168" s="9">
        <f t="shared" si="7"/>
        <v>0</v>
      </c>
      <c r="N168" s="17">
        <v>0</v>
      </c>
      <c r="O168" s="17">
        <v>0</v>
      </c>
      <c r="P168" s="17">
        <f t="shared" si="8"/>
        <v>0</v>
      </c>
      <c r="Q168" t="s">
        <v>49</v>
      </c>
      <c r="R168" t="s">
        <v>49</v>
      </c>
      <c r="S168" s="13" t="s">
        <v>454</v>
      </c>
      <c r="T168" s="13" t="s">
        <v>454</v>
      </c>
      <c r="U168" s="13" t="s">
        <v>260</v>
      </c>
      <c r="V168" s="13" t="s">
        <v>260</v>
      </c>
      <c r="W168" t="s">
        <v>52</v>
      </c>
      <c r="X168" s="15" t="s">
        <v>53</v>
      </c>
    </row>
    <row r="169" spans="1:24" ht="27">
      <c r="A169" s="4" t="s">
        <v>455</v>
      </c>
      <c r="B169" t="s">
        <v>44</v>
      </c>
      <c r="C169" t="s">
        <v>45</v>
      </c>
      <c r="D169" s="13" t="s">
        <v>456</v>
      </c>
      <c r="E169" t="s">
        <v>47</v>
      </c>
      <c r="F169" t="s">
        <v>48</v>
      </c>
      <c r="G169" t="s">
        <v>48</v>
      </c>
      <c r="H169" s="9">
        <v>35000000</v>
      </c>
      <c r="I169" s="9">
        <v>35000000</v>
      </c>
      <c r="J169" s="9">
        <f t="shared" si="6"/>
        <v>0</v>
      </c>
      <c r="K169" s="9">
        <v>0</v>
      </c>
      <c r="L169" s="9">
        <v>0</v>
      </c>
      <c r="M169" s="9">
        <f t="shared" si="7"/>
        <v>0</v>
      </c>
      <c r="N169" s="17">
        <v>0</v>
      </c>
      <c r="O169" s="17">
        <v>0</v>
      </c>
      <c r="P169" s="17">
        <f t="shared" si="8"/>
        <v>0</v>
      </c>
      <c r="Q169" t="s">
        <v>49</v>
      </c>
      <c r="R169" t="s">
        <v>49</v>
      </c>
      <c r="S169" s="13" t="s">
        <v>457</v>
      </c>
      <c r="T169" s="13" t="s">
        <v>457</v>
      </c>
      <c r="U169" s="13" t="s">
        <v>260</v>
      </c>
      <c r="V169" s="13" t="s">
        <v>260</v>
      </c>
      <c r="W169" t="s">
        <v>52</v>
      </c>
      <c r="X169" s="15" t="s">
        <v>53</v>
      </c>
    </row>
    <row r="170" spans="1:24" ht="40.5">
      <c r="A170" s="4" t="s">
        <v>458</v>
      </c>
      <c r="B170" t="s">
        <v>44</v>
      </c>
      <c r="C170" t="s">
        <v>45</v>
      </c>
      <c r="D170" s="13" t="s">
        <v>459</v>
      </c>
      <c r="E170" t="s">
        <v>47</v>
      </c>
      <c r="F170" t="s">
        <v>48</v>
      </c>
      <c r="G170" t="s">
        <v>48</v>
      </c>
      <c r="H170" s="9">
        <v>55500000</v>
      </c>
      <c r="I170" s="9">
        <v>55500000</v>
      </c>
      <c r="J170" s="9">
        <f t="shared" si="6"/>
        <v>0</v>
      </c>
      <c r="K170" s="9">
        <v>0</v>
      </c>
      <c r="L170" s="9">
        <v>0</v>
      </c>
      <c r="M170" s="9">
        <f t="shared" si="7"/>
        <v>0</v>
      </c>
      <c r="N170" s="17">
        <v>0</v>
      </c>
      <c r="O170" s="17">
        <v>0</v>
      </c>
      <c r="P170" s="17">
        <f t="shared" si="8"/>
        <v>0</v>
      </c>
      <c r="Q170" t="s">
        <v>49</v>
      </c>
      <c r="R170" t="s">
        <v>49</v>
      </c>
      <c r="S170" s="13" t="s">
        <v>460</v>
      </c>
      <c r="T170" s="13" t="s">
        <v>460</v>
      </c>
      <c r="U170" s="13" t="s">
        <v>350</v>
      </c>
      <c r="V170" s="13" t="s">
        <v>350</v>
      </c>
      <c r="W170" t="s">
        <v>52</v>
      </c>
      <c r="X170" s="15" t="s">
        <v>53</v>
      </c>
    </row>
    <row r="171" spans="1:24" ht="27">
      <c r="A171" s="4" t="s">
        <v>461</v>
      </c>
      <c r="B171" t="s">
        <v>44</v>
      </c>
      <c r="C171" t="s">
        <v>45</v>
      </c>
      <c r="D171" s="13" t="s">
        <v>462</v>
      </c>
      <c r="E171" t="s">
        <v>47</v>
      </c>
      <c r="F171" t="s">
        <v>48</v>
      </c>
      <c r="G171" t="s">
        <v>48</v>
      </c>
      <c r="H171" s="9">
        <v>8750000</v>
      </c>
      <c r="I171" s="9">
        <v>8750000</v>
      </c>
      <c r="J171" s="9">
        <f t="shared" si="6"/>
        <v>0</v>
      </c>
      <c r="K171" s="9">
        <v>0</v>
      </c>
      <c r="L171" s="9">
        <v>0</v>
      </c>
      <c r="M171" s="9">
        <f t="shared" si="7"/>
        <v>0</v>
      </c>
      <c r="N171" s="17">
        <v>0</v>
      </c>
      <c r="O171" s="17">
        <v>0</v>
      </c>
      <c r="P171" s="17">
        <f t="shared" si="8"/>
        <v>0</v>
      </c>
      <c r="Q171" t="s">
        <v>49</v>
      </c>
      <c r="R171" t="s">
        <v>49</v>
      </c>
      <c r="S171" s="13" t="s">
        <v>463</v>
      </c>
      <c r="T171" s="13" t="s">
        <v>463</v>
      </c>
      <c r="U171" s="13" t="s">
        <v>260</v>
      </c>
      <c r="V171" s="13" t="s">
        <v>260</v>
      </c>
      <c r="W171" t="s">
        <v>52</v>
      </c>
      <c r="X171" s="15" t="s">
        <v>53</v>
      </c>
    </row>
    <row r="172" spans="1:24" ht="40.5">
      <c r="A172" s="4" t="s">
        <v>464</v>
      </c>
      <c r="B172" t="s">
        <v>44</v>
      </c>
      <c r="C172" t="s">
        <v>45</v>
      </c>
      <c r="D172" s="13" t="s">
        <v>465</v>
      </c>
      <c r="E172" t="s">
        <v>47</v>
      </c>
      <c r="F172" t="s">
        <v>84</v>
      </c>
      <c r="G172" t="s">
        <v>48</v>
      </c>
      <c r="H172" s="9">
        <v>852000000</v>
      </c>
      <c r="I172" s="9">
        <v>852000000</v>
      </c>
      <c r="J172" s="9">
        <f t="shared" si="6"/>
        <v>0</v>
      </c>
      <c r="K172" s="9">
        <v>75909331.349999994</v>
      </c>
      <c r="L172" s="9">
        <v>0</v>
      </c>
      <c r="M172" s="9">
        <f t="shared" si="7"/>
        <v>-75909331.349999994</v>
      </c>
      <c r="N172" s="17">
        <v>0.09</v>
      </c>
      <c r="O172" s="17">
        <v>0</v>
      </c>
      <c r="P172" s="17">
        <f t="shared" si="8"/>
        <v>-0.09</v>
      </c>
      <c r="Q172" t="s">
        <v>466</v>
      </c>
      <c r="R172" t="s">
        <v>466</v>
      </c>
      <c r="S172" s="13" t="s">
        <v>467</v>
      </c>
      <c r="T172" s="13" t="s">
        <v>467</v>
      </c>
      <c r="U172" s="13" t="s">
        <v>468</v>
      </c>
      <c r="V172" s="13" t="s">
        <v>468</v>
      </c>
      <c r="W172" t="s">
        <v>64</v>
      </c>
      <c r="X172" s="15" t="s">
        <v>469</v>
      </c>
    </row>
    <row r="173" spans="1:24" ht="40.5">
      <c r="A173" s="4" t="s">
        <v>470</v>
      </c>
      <c r="B173" t="s">
        <v>44</v>
      </c>
      <c r="C173" t="s">
        <v>45</v>
      </c>
      <c r="D173" s="13" t="s">
        <v>471</v>
      </c>
      <c r="E173" t="s">
        <v>47</v>
      </c>
      <c r="F173" t="s">
        <v>48</v>
      </c>
      <c r="G173" t="s">
        <v>48</v>
      </c>
      <c r="H173" s="9">
        <v>2704000</v>
      </c>
      <c r="I173" s="9">
        <v>2704000</v>
      </c>
      <c r="J173" s="9">
        <f t="shared" si="6"/>
        <v>0</v>
      </c>
      <c r="K173" s="9">
        <v>0</v>
      </c>
      <c r="L173" s="9">
        <v>0</v>
      </c>
      <c r="M173" s="9">
        <f t="shared" si="7"/>
        <v>0</v>
      </c>
      <c r="N173" s="17">
        <v>0</v>
      </c>
      <c r="O173" s="17">
        <v>0</v>
      </c>
      <c r="P173" s="17">
        <f t="shared" si="8"/>
        <v>0</v>
      </c>
      <c r="Q173" t="s">
        <v>49</v>
      </c>
      <c r="R173" t="s">
        <v>49</v>
      </c>
      <c r="S173" s="13" t="s">
        <v>472</v>
      </c>
      <c r="T173" s="13" t="s">
        <v>472</v>
      </c>
      <c r="U173" s="13" t="s">
        <v>63</v>
      </c>
      <c r="V173" s="13" t="s">
        <v>63</v>
      </c>
      <c r="W173" t="s">
        <v>52</v>
      </c>
      <c r="X173" s="15" t="s">
        <v>53</v>
      </c>
    </row>
    <row r="174" spans="1:24" ht="40.5">
      <c r="A174" s="4" t="s">
        <v>473</v>
      </c>
      <c r="B174" t="s">
        <v>44</v>
      </c>
      <c r="C174" t="s">
        <v>45</v>
      </c>
      <c r="D174" s="13" t="s">
        <v>474</v>
      </c>
      <c r="E174" t="s">
        <v>47</v>
      </c>
      <c r="F174" t="s">
        <v>48</v>
      </c>
      <c r="G174" t="s">
        <v>48</v>
      </c>
      <c r="H174" s="9">
        <v>51000000</v>
      </c>
      <c r="I174" s="9">
        <v>51000000</v>
      </c>
      <c r="J174" s="9">
        <f t="shared" si="6"/>
        <v>0</v>
      </c>
      <c r="K174" s="9">
        <v>0</v>
      </c>
      <c r="L174" s="9">
        <v>0</v>
      </c>
      <c r="M174" s="9">
        <f t="shared" si="7"/>
        <v>0</v>
      </c>
      <c r="N174" s="17">
        <v>0</v>
      </c>
      <c r="O174" s="17">
        <v>0</v>
      </c>
      <c r="P174" s="17">
        <f t="shared" si="8"/>
        <v>0</v>
      </c>
      <c r="Q174" t="s">
        <v>49</v>
      </c>
      <c r="R174" t="s">
        <v>49</v>
      </c>
      <c r="S174" s="13" t="s">
        <v>475</v>
      </c>
      <c r="T174" s="13" t="s">
        <v>475</v>
      </c>
      <c r="U174" s="13" t="s">
        <v>350</v>
      </c>
      <c r="V174" s="13" t="s">
        <v>350</v>
      </c>
      <c r="W174" t="s">
        <v>52</v>
      </c>
      <c r="X174" s="15" t="s">
        <v>53</v>
      </c>
    </row>
    <row r="175" spans="1:24" ht="27">
      <c r="A175" s="4" t="s">
        <v>476</v>
      </c>
      <c r="B175" t="s">
        <v>44</v>
      </c>
      <c r="C175" t="s">
        <v>45</v>
      </c>
      <c r="D175" s="13" t="s">
        <v>477</v>
      </c>
      <c r="E175" t="s">
        <v>47</v>
      </c>
      <c r="F175" t="s">
        <v>48</v>
      </c>
      <c r="G175" t="s">
        <v>48</v>
      </c>
      <c r="H175" s="9">
        <v>8750000</v>
      </c>
      <c r="I175" s="9">
        <v>8750000</v>
      </c>
      <c r="J175" s="9">
        <f t="shared" si="6"/>
        <v>0</v>
      </c>
      <c r="K175" s="9">
        <v>0</v>
      </c>
      <c r="L175" s="9">
        <v>0</v>
      </c>
      <c r="M175" s="9">
        <f t="shared" si="7"/>
        <v>0</v>
      </c>
      <c r="N175" s="17">
        <v>0</v>
      </c>
      <c r="O175" s="17">
        <v>0</v>
      </c>
      <c r="P175" s="17">
        <f t="shared" si="8"/>
        <v>0</v>
      </c>
      <c r="Q175" t="s">
        <v>49</v>
      </c>
      <c r="R175" t="s">
        <v>49</v>
      </c>
      <c r="S175" s="13" t="s">
        <v>463</v>
      </c>
      <c r="T175" s="13" t="s">
        <v>463</v>
      </c>
      <c r="U175" s="13" t="s">
        <v>260</v>
      </c>
      <c r="V175" s="13" t="s">
        <v>260</v>
      </c>
      <c r="W175" t="s">
        <v>52</v>
      </c>
      <c r="X175" s="15" t="s">
        <v>53</v>
      </c>
    </row>
    <row r="176" spans="1:24" ht="27">
      <c r="A176" s="4" t="s">
        <v>478</v>
      </c>
      <c r="B176" t="s">
        <v>44</v>
      </c>
      <c r="C176" t="s">
        <v>45</v>
      </c>
      <c r="D176" s="13" t="s">
        <v>479</v>
      </c>
      <c r="E176" t="s">
        <v>47</v>
      </c>
      <c r="F176" t="s">
        <v>48</v>
      </c>
      <c r="G176" t="s">
        <v>48</v>
      </c>
      <c r="H176" s="9">
        <v>6250000</v>
      </c>
      <c r="I176" s="9">
        <v>6250000</v>
      </c>
      <c r="J176" s="9">
        <f t="shared" si="6"/>
        <v>0</v>
      </c>
      <c r="K176" s="9">
        <v>0</v>
      </c>
      <c r="L176" s="9">
        <v>0</v>
      </c>
      <c r="M176" s="9">
        <f t="shared" si="7"/>
        <v>0</v>
      </c>
      <c r="N176" s="17">
        <v>0</v>
      </c>
      <c r="O176" s="17">
        <v>0</v>
      </c>
      <c r="P176" s="17">
        <f t="shared" si="8"/>
        <v>0</v>
      </c>
      <c r="Q176" t="s">
        <v>49</v>
      </c>
      <c r="R176" t="s">
        <v>49</v>
      </c>
      <c r="S176" s="13" t="s">
        <v>480</v>
      </c>
      <c r="T176" s="13" t="s">
        <v>480</v>
      </c>
      <c r="U176" s="13" t="s">
        <v>260</v>
      </c>
      <c r="V176" s="13" t="s">
        <v>260</v>
      </c>
      <c r="W176" t="s">
        <v>52</v>
      </c>
      <c r="X176" s="15" t="s">
        <v>53</v>
      </c>
    </row>
    <row r="177" spans="1:24" ht="40.5">
      <c r="A177" s="4" t="s">
        <v>481</v>
      </c>
      <c r="B177" t="s">
        <v>44</v>
      </c>
      <c r="C177" t="s">
        <v>45</v>
      </c>
      <c r="D177" s="13" t="s">
        <v>482</v>
      </c>
      <c r="E177" t="s">
        <v>47</v>
      </c>
      <c r="F177" t="s">
        <v>48</v>
      </c>
      <c r="G177" t="s">
        <v>84</v>
      </c>
      <c r="H177" s="9">
        <v>64000000</v>
      </c>
      <c r="I177" s="9">
        <v>64000000</v>
      </c>
      <c r="J177" s="9">
        <f t="shared" si="6"/>
        <v>0</v>
      </c>
      <c r="K177" s="9">
        <v>0</v>
      </c>
      <c r="L177" s="9">
        <v>23561600</v>
      </c>
      <c r="M177" s="9">
        <f t="shared" si="7"/>
        <v>23561600</v>
      </c>
      <c r="N177" s="17">
        <v>0</v>
      </c>
      <c r="O177" s="17">
        <v>0.37</v>
      </c>
      <c r="P177" s="17">
        <f t="shared" si="8"/>
        <v>0.37</v>
      </c>
      <c r="Q177" t="s">
        <v>49</v>
      </c>
      <c r="R177" t="s">
        <v>49</v>
      </c>
      <c r="S177" s="13" t="s">
        <v>483</v>
      </c>
      <c r="T177" s="13" t="s">
        <v>483</v>
      </c>
      <c r="U177" s="13" t="s">
        <v>350</v>
      </c>
      <c r="V177" s="13" t="s">
        <v>350</v>
      </c>
      <c r="W177" t="s">
        <v>64</v>
      </c>
      <c r="X177" s="15" t="s">
        <v>484</v>
      </c>
    </row>
    <row r="178" spans="1:24" ht="40.5">
      <c r="A178" s="4" t="s">
        <v>485</v>
      </c>
      <c r="B178" t="s">
        <v>44</v>
      </c>
      <c r="C178" t="s">
        <v>45</v>
      </c>
      <c r="D178" s="13" t="s">
        <v>486</v>
      </c>
      <c r="E178" t="s">
        <v>47</v>
      </c>
      <c r="F178" t="s">
        <v>48</v>
      </c>
      <c r="G178" t="s">
        <v>48</v>
      </c>
      <c r="H178" s="9">
        <v>227200000</v>
      </c>
      <c r="I178" s="9">
        <v>227200000</v>
      </c>
      <c r="J178" s="9">
        <f t="shared" si="6"/>
        <v>0</v>
      </c>
      <c r="K178" s="9">
        <v>0</v>
      </c>
      <c r="L178" s="9">
        <v>0</v>
      </c>
      <c r="M178" s="9">
        <f t="shared" si="7"/>
        <v>0</v>
      </c>
      <c r="N178" s="17">
        <v>0</v>
      </c>
      <c r="O178" s="17">
        <v>0</v>
      </c>
      <c r="P178" s="17">
        <f t="shared" si="8"/>
        <v>0</v>
      </c>
      <c r="Q178" t="s">
        <v>466</v>
      </c>
      <c r="R178" t="s">
        <v>466</v>
      </c>
      <c r="S178" s="13" t="s">
        <v>487</v>
      </c>
      <c r="T178" s="13" t="s">
        <v>487</v>
      </c>
      <c r="U178" s="13" t="s">
        <v>468</v>
      </c>
      <c r="V178" s="13" t="s">
        <v>468</v>
      </c>
      <c r="W178" t="s">
        <v>52</v>
      </c>
      <c r="X178" s="15" t="s">
        <v>53</v>
      </c>
    </row>
    <row r="179" spans="1:24" ht="27">
      <c r="A179" s="4" t="s">
        <v>488</v>
      </c>
      <c r="B179" t="s">
        <v>44</v>
      </c>
      <c r="C179" t="s">
        <v>45</v>
      </c>
      <c r="D179" s="13" t="s">
        <v>489</v>
      </c>
      <c r="E179" t="s">
        <v>47</v>
      </c>
      <c r="F179" t="s">
        <v>48</v>
      </c>
      <c r="G179" t="s">
        <v>48</v>
      </c>
      <c r="H179" s="9">
        <v>17750000</v>
      </c>
      <c r="I179" s="9">
        <v>17750000</v>
      </c>
      <c r="J179" s="9">
        <f t="shared" si="6"/>
        <v>0</v>
      </c>
      <c r="K179" s="9">
        <v>0</v>
      </c>
      <c r="L179" s="9">
        <v>0</v>
      </c>
      <c r="M179" s="9">
        <f t="shared" si="7"/>
        <v>0</v>
      </c>
      <c r="N179" s="17">
        <v>0</v>
      </c>
      <c r="O179" s="17">
        <v>0</v>
      </c>
      <c r="P179" s="17">
        <f t="shared" si="8"/>
        <v>0</v>
      </c>
      <c r="Q179" t="s">
        <v>49</v>
      </c>
      <c r="R179" t="s">
        <v>49</v>
      </c>
      <c r="S179" s="13" t="s">
        <v>490</v>
      </c>
      <c r="T179" s="13" t="s">
        <v>490</v>
      </c>
      <c r="U179" s="13" t="s">
        <v>260</v>
      </c>
      <c r="V179" s="13" t="s">
        <v>260</v>
      </c>
      <c r="W179" t="s">
        <v>52</v>
      </c>
      <c r="X179" s="15" t="s">
        <v>53</v>
      </c>
    </row>
    <row r="180" spans="1:24" ht="94.5">
      <c r="A180" s="4" t="s">
        <v>491</v>
      </c>
      <c r="B180" t="s">
        <v>44</v>
      </c>
      <c r="C180" t="s">
        <v>45</v>
      </c>
      <c r="D180" s="13" t="s">
        <v>492</v>
      </c>
      <c r="E180" t="s">
        <v>47</v>
      </c>
      <c r="F180" t="s">
        <v>48</v>
      </c>
      <c r="G180" t="s">
        <v>84</v>
      </c>
      <c r="H180" s="9">
        <v>300000000</v>
      </c>
      <c r="I180" s="9">
        <v>300000000</v>
      </c>
      <c r="J180" s="9">
        <f t="shared" si="6"/>
        <v>0</v>
      </c>
      <c r="K180" s="9">
        <v>0</v>
      </c>
      <c r="L180" s="9">
        <v>105233402</v>
      </c>
      <c r="M180" s="9">
        <f t="shared" si="7"/>
        <v>105233402</v>
      </c>
      <c r="N180" s="17">
        <v>0</v>
      </c>
      <c r="O180" s="17">
        <v>0.35</v>
      </c>
      <c r="P180" s="17">
        <f t="shared" si="8"/>
        <v>0.35</v>
      </c>
      <c r="Q180" t="s">
        <v>466</v>
      </c>
      <c r="R180" t="s">
        <v>466</v>
      </c>
      <c r="S180" s="13" t="s">
        <v>493</v>
      </c>
      <c r="T180" s="13" t="s">
        <v>494</v>
      </c>
      <c r="U180" s="13" t="s">
        <v>468</v>
      </c>
      <c r="V180" s="13" t="s">
        <v>495</v>
      </c>
      <c r="W180" t="s">
        <v>64</v>
      </c>
      <c r="X180" s="15" t="s">
        <v>496</v>
      </c>
    </row>
    <row r="181" spans="1:24" ht="27">
      <c r="A181" s="4" t="s">
        <v>497</v>
      </c>
      <c r="B181" t="s">
        <v>44</v>
      </c>
      <c r="C181" t="s">
        <v>45</v>
      </c>
      <c r="D181" s="13" t="s">
        <v>498</v>
      </c>
      <c r="E181" t="s">
        <v>47</v>
      </c>
      <c r="F181" t="s">
        <v>48</v>
      </c>
      <c r="G181" t="s">
        <v>48</v>
      </c>
      <c r="H181" s="9">
        <v>22541000</v>
      </c>
      <c r="I181" s="9">
        <v>22541000</v>
      </c>
      <c r="J181" s="9">
        <f t="shared" si="6"/>
        <v>0</v>
      </c>
      <c r="K181" s="9">
        <v>0</v>
      </c>
      <c r="L181" s="9">
        <v>0</v>
      </c>
      <c r="M181" s="9">
        <f t="shared" si="7"/>
        <v>0</v>
      </c>
      <c r="N181" s="17">
        <v>0</v>
      </c>
      <c r="O181" s="17">
        <v>0</v>
      </c>
      <c r="P181" s="17">
        <f t="shared" si="8"/>
        <v>0</v>
      </c>
      <c r="Q181" t="s">
        <v>49</v>
      </c>
      <c r="R181" t="s">
        <v>49</v>
      </c>
      <c r="S181" s="13" t="s">
        <v>499</v>
      </c>
      <c r="T181" s="13" t="s">
        <v>499</v>
      </c>
      <c r="U181" s="13" t="s">
        <v>260</v>
      </c>
      <c r="V181" s="13" t="s">
        <v>260</v>
      </c>
      <c r="W181" t="s">
        <v>52</v>
      </c>
      <c r="X181" s="15" t="s">
        <v>53</v>
      </c>
    </row>
    <row r="182" spans="1:24" ht="40.5">
      <c r="A182" s="4" t="s">
        <v>500</v>
      </c>
      <c r="B182" t="s">
        <v>44</v>
      </c>
      <c r="C182" t="s">
        <v>45</v>
      </c>
      <c r="D182" s="13" t="s">
        <v>501</v>
      </c>
      <c r="E182" t="s">
        <v>47</v>
      </c>
      <c r="F182" t="s">
        <v>48</v>
      </c>
      <c r="G182" t="s">
        <v>48</v>
      </c>
      <c r="H182" s="9">
        <v>100000000</v>
      </c>
      <c r="I182" s="9">
        <v>100000000</v>
      </c>
      <c r="J182" s="9">
        <f t="shared" si="6"/>
        <v>0</v>
      </c>
      <c r="K182" s="9">
        <v>0</v>
      </c>
      <c r="L182" s="9">
        <v>0</v>
      </c>
      <c r="M182" s="9">
        <f t="shared" si="7"/>
        <v>0</v>
      </c>
      <c r="N182" s="17">
        <v>0</v>
      </c>
      <c r="O182" s="17">
        <v>0</v>
      </c>
      <c r="P182" s="17">
        <f t="shared" si="8"/>
        <v>0</v>
      </c>
      <c r="Q182" t="s">
        <v>49</v>
      </c>
      <c r="R182" t="s">
        <v>49</v>
      </c>
      <c r="S182" s="13" t="s">
        <v>502</v>
      </c>
      <c r="T182" s="13" t="s">
        <v>502</v>
      </c>
      <c r="U182" s="13" t="s">
        <v>350</v>
      </c>
      <c r="V182" s="13" t="s">
        <v>350</v>
      </c>
      <c r="W182" t="s">
        <v>52</v>
      </c>
      <c r="X182" s="15" t="s">
        <v>53</v>
      </c>
    </row>
    <row r="183" spans="1:24" ht="27">
      <c r="A183" s="4" t="s">
        <v>503</v>
      </c>
      <c r="B183" t="s">
        <v>44</v>
      </c>
      <c r="C183" t="s">
        <v>45</v>
      </c>
      <c r="D183" s="13" t="s">
        <v>504</v>
      </c>
      <c r="E183" t="s">
        <v>47</v>
      </c>
      <c r="F183" t="s">
        <v>48</v>
      </c>
      <c r="G183" t="s">
        <v>48</v>
      </c>
      <c r="H183" s="9">
        <v>8000000</v>
      </c>
      <c r="I183" s="9">
        <v>8000000</v>
      </c>
      <c r="J183" s="9">
        <f t="shared" si="6"/>
        <v>0</v>
      </c>
      <c r="K183" s="9">
        <v>0</v>
      </c>
      <c r="L183" s="9">
        <v>0</v>
      </c>
      <c r="M183" s="9">
        <f t="shared" si="7"/>
        <v>0</v>
      </c>
      <c r="N183" s="17">
        <v>0</v>
      </c>
      <c r="O183" s="17">
        <v>0</v>
      </c>
      <c r="P183" s="17">
        <f t="shared" si="8"/>
        <v>0</v>
      </c>
      <c r="Q183" t="s">
        <v>49</v>
      </c>
      <c r="R183" t="s">
        <v>49</v>
      </c>
      <c r="S183" s="13" t="s">
        <v>505</v>
      </c>
      <c r="T183" s="13" t="s">
        <v>505</v>
      </c>
      <c r="U183" s="13" t="s">
        <v>260</v>
      </c>
      <c r="V183" s="13" t="s">
        <v>260</v>
      </c>
      <c r="W183" t="s">
        <v>52</v>
      </c>
      <c r="X183" s="15" t="s">
        <v>53</v>
      </c>
    </row>
    <row r="184" spans="1:24" ht="27">
      <c r="A184" s="4" t="s">
        <v>506</v>
      </c>
      <c r="B184" t="s">
        <v>44</v>
      </c>
      <c r="C184" t="s">
        <v>45</v>
      </c>
      <c r="D184" s="13" t="s">
        <v>507</v>
      </c>
      <c r="E184" t="s">
        <v>47</v>
      </c>
      <c r="F184" t="s">
        <v>48</v>
      </c>
      <c r="G184" t="s">
        <v>48</v>
      </c>
      <c r="H184" s="9">
        <v>36000000</v>
      </c>
      <c r="I184" s="9">
        <v>36000000</v>
      </c>
      <c r="J184" s="9">
        <f t="shared" si="6"/>
        <v>0</v>
      </c>
      <c r="K184" s="9">
        <v>0</v>
      </c>
      <c r="L184" s="9">
        <v>0</v>
      </c>
      <c r="M184" s="9">
        <f t="shared" si="7"/>
        <v>0</v>
      </c>
      <c r="N184" s="17">
        <v>0</v>
      </c>
      <c r="O184" s="17">
        <v>0</v>
      </c>
      <c r="P184" s="17">
        <f t="shared" si="8"/>
        <v>0</v>
      </c>
      <c r="Q184" t="s">
        <v>49</v>
      </c>
      <c r="R184" t="s">
        <v>49</v>
      </c>
      <c r="S184" s="13" t="s">
        <v>508</v>
      </c>
      <c r="T184" s="13" t="s">
        <v>508</v>
      </c>
      <c r="U184" s="13" t="s">
        <v>260</v>
      </c>
      <c r="V184" s="13" t="s">
        <v>260</v>
      </c>
      <c r="W184" t="s">
        <v>52</v>
      </c>
      <c r="X184" s="15" t="s">
        <v>53</v>
      </c>
    </row>
    <row r="185" spans="1:24" ht="27">
      <c r="A185" s="4" t="s">
        <v>509</v>
      </c>
      <c r="B185" t="s">
        <v>44</v>
      </c>
      <c r="C185" t="s">
        <v>45</v>
      </c>
      <c r="D185" s="13" t="s">
        <v>510</v>
      </c>
      <c r="E185" t="s">
        <v>47</v>
      </c>
      <c r="F185" t="s">
        <v>48</v>
      </c>
      <c r="G185" t="s">
        <v>48</v>
      </c>
      <c r="H185" s="9">
        <v>12400000</v>
      </c>
      <c r="I185" s="9">
        <v>12400000</v>
      </c>
      <c r="J185" s="9">
        <f t="shared" si="6"/>
        <v>0</v>
      </c>
      <c r="K185" s="9">
        <v>0</v>
      </c>
      <c r="L185" s="9">
        <v>0</v>
      </c>
      <c r="M185" s="9">
        <f t="shared" si="7"/>
        <v>0</v>
      </c>
      <c r="N185" s="17">
        <v>0</v>
      </c>
      <c r="O185" s="17">
        <v>0</v>
      </c>
      <c r="P185" s="17">
        <f t="shared" si="8"/>
        <v>0</v>
      </c>
      <c r="Q185" t="s">
        <v>49</v>
      </c>
      <c r="R185" t="s">
        <v>49</v>
      </c>
      <c r="S185" s="13" t="s">
        <v>511</v>
      </c>
      <c r="T185" s="13" t="s">
        <v>511</v>
      </c>
      <c r="U185" s="13" t="s">
        <v>260</v>
      </c>
      <c r="V185" s="13" t="s">
        <v>260</v>
      </c>
      <c r="W185" t="s">
        <v>52</v>
      </c>
      <c r="X185" s="15" t="s">
        <v>53</v>
      </c>
    </row>
    <row r="186" spans="1:24" ht="27">
      <c r="A186" s="4" t="s">
        <v>512</v>
      </c>
      <c r="B186" t="s">
        <v>44</v>
      </c>
      <c r="C186" t="s">
        <v>45</v>
      </c>
      <c r="D186" s="13" t="s">
        <v>513</v>
      </c>
      <c r="E186" t="s">
        <v>47</v>
      </c>
      <c r="F186" t="s">
        <v>48</v>
      </c>
      <c r="G186" t="s">
        <v>48</v>
      </c>
      <c r="H186" s="9">
        <v>2820000</v>
      </c>
      <c r="I186" s="9">
        <v>2820000</v>
      </c>
      <c r="J186" s="9">
        <f t="shared" si="6"/>
        <v>0</v>
      </c>
      <c r="K186" s="9">
        <v>0</v>
      </c>
      <c r="L186" s="9">
        <v>0</v>
      </c>
      <c r="M186" s="9">
        <f t="shared" si="7"/>
        <v>0</v>
      </c>
      <c r="N186" s="17">
        <v>0</v>
      </c>
      <c r="O186" s="17">
        <v>0</v>
      </c>
      <c r="P186" s="17">
        <f t="shared" si="8"/>
        <v>0</v>
      </c>
      <c r="Q186" t="s">
        <v>49</v>
      </c>
      <c r="R186" t="s">
        <v>49</v>
      </c>
      <c r="S186" s="13" t="s">
        <v>514</v>
      </c>
      <c r="T186" s="13" t="s">
        <v>514</v>
      </c>
      <c r="U186" s="13" t="s">
        <v>260</v>
      </c>
      <c r="V186" s="13" t="s">
        <v>260</v>
      </c>
      <c r="W186" t="s">
        <v>52</v>
      </c>
      <c r="X186" s="15" t="s">
        <v>53</v>
      </c>
    </row>
    <row r="187" spans="1:24" ht="27">
      <c r="A187" s="4" t="s">
        <v>515</v>
      </c>
      <c r="B187" t="s">
        <v>44</v>
      </c>
      <c r="C187" t="s">
        <v>45</v>
      </c>
      <c r="D187" s="13" t="s">
        <v>516</v>
      </c>
      <c r="E187" t="s">
        <v>47</v>
      </c>
      <c r="F187" t="s">
        <v>48</v>
      </c>
      <c r="G187" t="s">
        <v>48</v>
      </c>
      <c r="H187" s="9">
        <v>6000000</v>
      </c>
      <c r="I187" s="9">
        <v>6000000</v>
      </c>
      <c r="J187" s="9">
        <f t="shared" si="6"/>
        <v>0</v>
      </c>
      <c r="K187" s="9">
        <v>0</v>
      </c>
      <c r="L187" s="9">
        <v>0</v>
      </c>
      <c r="M187" s="9">
        <f t="shared" si="7"/>
        <v>0</v>
      </c>
      <c r="N187" s="17">
        <v>0</v>
      </c>
      <c r="O187" s="17">
        <v>0</v>
      </c>
      <c r="P187" s="17">
        <f t="shared" si="8"/>
        <v>0</v>
      </c>
      <c r="Q187" t="s">
        <v>49</v>
      </c>
      <c r="R187" t="s">
        <v>49</v>
      </c>
      <c r="S187" s="13" t="s">
        <v>517</v>
      </c>
      <c r="T187" s="13" t="s">
        <v>517</v>
      </c>
      <c r="U187" s="13" t="s">
        <v>260</v>
      </c>
      <c r="V187" s="13" t="s">
        <v>260</v>
      </c>
      <c r="W187" t="s">
        <v>52</v>
      </c>
      <c r="X187" s="15" t="s">
        <v>53</v>
      </c>
    </row>
    <row r="188" spans="1:24" ht="27">
      <c r="A188" s="4" t="s">
        <v>518</v>
      </c>
      <c r="B188" t="s">
        <v>44</v>
      </c>
      <c r="C188" t="s">
        <v>45</v>
      </c>
      <c r="D188" s="13" t="s">
        <v>519</v>
      </c>
      <c r="E188" t="s">
        <v>47</v>
      </c>
      <c r="F188" t="s">
        <v>48</v>
      </c>
      <c r="G188" t="s">
        <v>48</v>
      </c>
      <c r="H188" s="9">
        <v>45500000</v>
      </c>
      <c r="I188" s="9">
        <v>45500000</v>
      </c>
      <c r="J188" s="9">
        <f t="shared" si="6"/>
        <v>0</v>
      </c>
      <c r="K188" s="9">
        <v>0</v>
      </c>
      <c r="L188" s="9">
        <v>0</v>
      </c>
      <c r="M188" s="9">
        <f t="shared" si="7"/>
        <v>0</v>
      </c>
      <c r="N188" s="17">
        <v>0</v>
      </c>
      <c r="O188" s="17">
        <v>0</v>
      </c>
      <c r="P188" s="17">
        <f t="shared" si="8"/>
        <v>0</v>
      </c>
      <c r="Q188" t="s">
        <v>49</v>
      </c>
      <c r="R188" t="s">
        <v>49</v>
      </c>
      <c r="S188" s="13" t="s">
        <v>520</v>
      </c>
      <c r="T188" s="13" t="s">
        <v>520</v>
      </c>
      <c r="U188" s="13" t="s">
        <v>260</v>
      </c>
      <c r="V188" s="13" t="s">
        <v>260</v>
      </c>
      <c r="W188" t="s">
        <v>52</v>
      </c>
      <c r="X188" s="15" t="s">
        <v>53</v>
      </c>
    </row>
    <row r="189" spans="1:24" ht="40.5">
      <c r="A189" s="4" t="s">
        <v>521</v>
      </c>
      <c r="B189" t="s">
        <v>44</v>
      </c>
      <c r="C189" t="s">
        <v>45</v>
      </c>
      <c r="D189" s="13" t="s">
        <v>522</v>
      </c>
      <c r="E189" t="s">
        <v>47</v>
      </c>
      <c r="F189" t="s">
        <v>48</v>
      </c>
      <c r="G189" t="s">
        <v>84</v>
      </c>
      <c r="H189" s="9">
        <v>190155000</v>
      </c>
      <c r="I189" s="9">
        <v>190155000</v>
      </c>
      <c r="J189" s="9">
        <f t="shared" si="6"/>
        <v>0</v>
      </c>
      <c r="K189" s="9">
        <v>0</v>
      </c>
      <c r="L189" s="9">
        <v>91165314</v>
      </c>
      <c r="M189" s="9">
        <f t="shared" si="7"/>
        <v>91165314</v>
      </c>
      <c r="N189" s="17">
        <v>0</v>
      </c>
      <c r="O189" s="17">
        <v>0.48</v>
      </c>
      <c r="P189" s="17">
        <f t="shared" si="8"/>
        <v>0.48</v>
      </c>
      <c r="Q189" t="s">
        <v>49</v>
      </c>
      <c r="R189" t="s">
        <v>49</v>
      </c>
      <c r="S189" s="13" t="s">
        <v>523</v>
      </c>
      <c r="T189" s="13" t="s">
        <v>523</v>
      </c>
      <c r="U189" s="13" t="s">
        <v>350</v>
      </c>
      <c r="V189" s="13" t="s">
        <v>350</v>
      </c>
      <c r="W189" t="s">
        <v>64</v>
      </c>
      <c r="X189" s="15" t="s">
        <v>524</v>
      </c>
    </row>
    <row r="190" spans="1:24" ht="27">
      <c r="A190" s="4" t="s">
        <v>525</v>
      </c>
      <c r="B190" t="s">
        <v>44</v>
      </c>
      <c r="C190" t="s">
        <v>45</v>
      </c>
      <c r="D190" s="13" t="s">
        <v>526</v>
      </c>
      <c r="E190" t="s">
        <v>56</v>
      </c>
      <c r="F190" t="s">
        <v>48</v>
      </c>
      <c r="H190" s="9">
        <v>462400000</v>
      </c>
      <c r="I190" s="9"/>
      <c r="J190" s="9" t="str">
        <f t="shared" si="6"/>
        <v/>
      </c>
      <c r="K190" s="9">
        <v>0</v>
      </c>
      <c r="L190" s="9"/>
      <c r="M190" s="9" t="str">
        <f t="shared" si="7"/>
        <v/>
      </c>
      <c r="N190" s="17">
        <v>0</v>
      </c>
      <c r="O190" s="17"/>
      <c r="P190" s="17" t="str">
        <f t="shared" si="8"/>
        <v/>
      </c>
      <c r="Q190" t="s">
        <v>49</v>
      </c>
      <c r="S190" s="13" t="s">
        <v>527</v>
      </c>
      <c r="T190" s="13"/>
      <c r="U190" s="13" t="s">
        <v>260</v>
      </c>
      <c r="V190" s="13"/>
      <c r="W190" t="s">
        <v>94</v>
      </c>
      <c r="X190" s="15" t="s">
        <v>95</v>
      </c>
    </row>
    <row r="191" spans="1:24" ht="40.5">
      <c r="A191" s="4" t="s">
        <v>528</v>
      </c>
      <c r="B191" t="s">
        <v>44</v>
      </c>
      <c r="C191" t="s">
        <v>45</v>
      </c>
      <c r="D191" s="13" t="s">
        <v>100</v>
      </c>
      <c r="E191" t="s">
        <v>47</v>
      </c>
      <c r="F191" t="s">
        <v>48</v>
      </c>
      <c r="G191" t="s">
        <v>48</v>
      </c>
      <c r="H191" s="9">
        <v>136000000</v>
      </c>
      <c r="I191" s="9">
        <v>136000000</v>
      </c>
      <c r="J191" s="9">
        <f t="shared" si="6"/>
        <v>0</v>
      </c>
      <c r="K191" s="9">
        <v>0</v>
      </c>
      <c r="L191" s="9">
        <v>0</v>
      </c>
      <c r="M191" s="9">
        <f t="shared" si="7"/>
        <v>0</v>
      </c>
      <c r="N191" s="17">
        <v>0</v>
      </c>
      <c r="O191" s="17">
        <v>0</v>
      </c>
      <c r="P191" s="17">
        <f t="shared" si="8"/>
        <v>0</v>
      </c>
      <c r="Q191" t="s">
        <v>49</v>
      </c>
      <c r="R191" t="s">
        <v>49</v>
      </c>
      <c r="S191" s="13" t="s">
        <v>529</v>
      </c>
      <c r="T191" s="13" t="s">
        <v>529</v>
      </c>
      <c r="U191" s="13" t="s">
        <v>350</v>
      </c>
      <c r="V191" s="13" t="s">
        <v>350</v>
      </c>
      <c r="W191" t="s">
        <v>52</v>
      </c>
      <c r="X191" s="15" t="s">
        <v>53</v>
      </c>
    </row>
    <row r="192" spans="1:24" ht="27">
      <c r="A192" s="4" t="s">
        <v>530</v>
      </c>
      <c r="B192" t="s">
        <v>44</v>
      </c>
      <c r="C192" t="s">
        <v>45</v>
      </c>
      <c r="D192" s="13" t="s">
        <v>105</v>
      </c>
      <c r="E192" t="s">
        <v>47</v>
      </c>
      <c r="F192" t="s">
        <v>48</v>
      </c>
      <c r="G192" t="s">
        <v>48</v>
      </c>
      <c r="H192" s="9">
        <v>13600000</v>
      </c>
      <c r="I192" s="9">
        <v>13600000</v>
      </c>
      <c r="J192" s="9">
        <f t="shared" si="6"/>
        <v>0</v>
      </c>
      <c r="K192" s="9">
        <v>0</v>
      </c>
      <c r="L192" s="9">
        <v>0</v>
      </c>
      <c r="M192" s="9">
        <f t="shared" si="7"/>
        <v>0</v>
      </c>
      <c r="N192" s="17">
        <v>0</v>
      </c>
      <c r="O192" s="17">
        <v>0</v>
      </c>
      <c r="P192" s="17">
        <f t="shared" si="8"/>
        <v>0</v>
      </c>
      <c r="Q192" t="s">
        <v>49</v>
      </c>
      <c r="R192" t="s">
        <v>49</v>
      </c>
      <c r="S192" s="13" t="s">
        <v>531</v>
      </c>
      <c r="T192" s="13" t="s">
        <v>531</v>
      </c>
      <c r="U192" s="13" t="s">
        <v>260</v>
      </c>
      <c r="V192" s="13" t="s">
        <v>260</v>
      </c>
      <c r="W192" t="s">
        <v>52</v>
      </c>
      <c r="X192" s="15" t="s">
        <v>53</v>
      </c>
    </row>
    <row r="193" spans="1:24" ht="27">
      <c r="A193" s="4" t="s">
        <v>532</v>
      </c>
      <c r="B193" t="s">
        <v>44</v>
      </c>
      <c r="C193" t="s">
        <v>45</v>
      </c>
      <c r="D193" s="13" t="s">
        <v>80</v>
      </c>
      <c r="E193" t="s">
        <v>47</v>
      </c>
      <c r="F193" t="s">
        <v>48</v>
      </c>
      <c r="G193" t="s">
        <v>48</v>
      </c>
      <c r="H193" s="9">
        <v>21250000</v>
      </c>
      <c r="I193" s="9">
        <v>21250000</v>
      </c>
      <c r="J193" s="9">
        <f t="shared" si="6"/>
        <v>0</v>
      </c>
      <c r="K193" s="9">
        <v>0</v>
      </c>
      <c r="L193" s="9">
        <v>0</v>
      </c>
      <c r="M193" s="9">
        <f t="shared" si="7"/>
        <v>0</v>
      </c>
      <c r="N193" s="17">
        <v>0</v>
      </c>
      <c r="O193" s="17">
        <v>0</v>
      </c>
      <c r="P193" s="17">
        <f t="shared" si="8"/>
        <v>0</v>
      </c>
      <c r="Q193" t="s">
        <v>49</v>
      </c>
      <c r="R193" t="s">
        <v>49</v>
      </c>
      <c r="S193" s="13" t="s">
        <v>533</v>
      </c>
      <c r="T193" s="13" t="s">
        <v>533</v>
      </c>
      <c r="U193" s="13" t="s">
        <v>260</v>
      </c>
      <c r="V193" s="13" t="s">
        <v>260</v>
      </c>
      <c r="W193" t="s">
        <v>52</v>
      </c>
      <c r="X193" s="15" t="s">
        <v>53</v>
      </c>
    </row>
    <row r="194" spans="1:24" ht="40.5">
      <c r="A194" s="4" t="s">
        <v>534</v>
      </c>
      <c r="B194" t="s">
        <v>44</v>
      </c>
      <c r="C194" t="s">
        <v>45</v>
      </c>
      <c r="D194" s="13" t="s">
        <v>108</v>
      </c>
      <c r="E194" t="s">
        <v>47</v>
      </c>
      <c r="F194" t="s">
        <v>48</v>
      </c>
      <c r="G194" t="s">
        <v>48</v>
      </c>
      <c r="H194" s="9">
        <v>85000000</v>
      </c>
      <c r="I194" s="9">
        <v>85000000</v>
      </c>
      <c r="J194" s="9">
        <f t="shared" si="6"/>
        <v>0</v>
      </c>
      <c r="K194" s="9">
        <v>0</v>
      </c>
      <c r="L194" s="9">
        <v>0</v>
      </c>
      <c r="M194" s="9">
        <f t="shared" si="7"/>
        <v>0</v>
      </c>
      <c r="N194" s="17">
        <v>0</v>
      </c>
      <c r="O194" s="17">
        <v>0</v>
      </c>
      <c r="P194" s="17">
        <f t="shared" si="8"/>
        <v>0</v>
      </c>
      <c r="Q194" t="s">
        <v>49</v>
      </c>
      <c r="R194" t="s">
        <v>49</v>
      </c>
      <c r="S194" s="13" t="s">
        <v>535</v>
      </c>
      <c r="T194" s="13" t="s">
        <v>535</v>
      </c>
      <c r="U194" s="13" t="s">
        <v>350</v>
      </c>
      <c r="V194" s="13" t="s">
        <v>350</v>
      </c>
      <c r="W194" t="s">
        <v>52</v>
      </c>
      <c r="X194" s="15" t="s">
        <v>53</v>
      </c>
    </row>
    <row r="195" spans="1:24" ht="40.5">
      <c r="A195" s="4" t="s">
        <v>536</v>
      </c>
      <c r="B195" t="s">
        <v>44</v>
      </c>
      <c r="C195" t="s">
        <v>45</v>
      </c>
      <c r="D195" s="13" t="s">
        <v>474</v>
      </c>
      <c r="E195" t="s">
        <v>47</v>
      </c>
      <c r="F195" t="s">
        <v>48</v>
      </c>
      <c r="G195" t="s">
        <v>48</v>
      </c>
      <c r="H195" s="9">
        <v>30035000</v>
      </c>
      <c r="I195" s="9">
        <v>30035000</v>
      </c>
      <c r="J195" s="9">
        <f t="shared" si="6"/>
        <v>0</v>
      </c>
      <c r="K195" s="9">
        <v>0</v>
      </c>
      <c r="L195" s="9">
        <v>0</v>
      </c>
      <c r="M195" s="9">
        <f t="shared" si="7"/>
        <v>0</v>
      </c>
      <c r="N195" s="17">
        <v>0</v>
      </c>
      <c r="O195" s="17">
        <v>0</v>
      </c>
      <c r="P195" s="17">
        <f t="shared" si="8"/>
        <v>0</v>
      </c>
      <c r="Q195" t="s">
        <v>49</v>
      </c>
      <c r="R195" t="s">
        <v>49</v>
      </c>
      <c r="S195" s="13" t="s">
        <v>537</v>
      </c>
      <c r="T195" s="13" t="s">
        <v>537</v>
      </c>
      <c r="U195" s="13" t="s">
        <v>260</v>
      </c>
      <c r="V195" s="13" t="s">
        <v>260</v>
      </c>
      <c r="W195" t="s">
        <v>52</v>
      </c>
      <c r="X195" s="15" t="s">
        <v>53</v>
      </c>
    </row>
    <row r="196" spans="1:24" ht="27">
      <c r="A196" s="4" t="s">
        <v>538</v>
      </c>
      <c r="B196" t="s">
        <v>44</v>
      </c>
      <c r="C196" t="s">
        <v>45</v>
      </c>
      <c r="D196" s="13" t="s">
        <v>539</v>
      </c>
      <c r="E196" t="s">
        <v>47</v>
      </c>
      <c r="F196" t="s">
        <v>48</v>
      </c>
      <c r="G196" t="s">
        <v>48</v>
      </c>
      <c r="H196" s="9">
        <v>35200000</v>
      </c>
      <c r="I196" s="9">
        <v>35200000</v>
      </c>
      <c r="J196" s="9">
        <f t="shared" ref="J196:J259" si="9">IF(OR(H196="",I196=""),"",I196-H196)</f>
        <v>0</v>
      </c>
      <c r="K196" s="9">
        <v>0</v>
      </c>
      <c r="L196" s="9">
        <v>0</v>
      </c>
      <c r="M196" s="9">
        <f t="shared" ref="M196:M259" si="10">IF(OR(K196="",L196=""),"",L196-K196)</f>
        <v>0</v>
      </c>
      <c r="N196" s="17">
        <v>0</v>
      </c>
      <c r="O196" s="17">
        <v>0</v>
      </c>
      <c r="P196" s="17">
        <f t="shared" ref="P196:P259" si="11">IF(OR(N196="",O196=""),"",O196-N196)</f>
        <v>0</v>
      </c>
      <c r="Q196" t="s">
        <v>49</v>
      </c>
      <c r="R196" t="s">
        <v>49</v>
      </c>
      <c r="S196" s="13" t="s">
        <v>540</v>
      </c>
      <c r="T196" s="13" t="s">
        <v>540</v>
      </c>
      <c r="U196" s="13" t="s">
        <v>260</v>
      </c>
      <c r="V196" s="13" t="s">
        <v>260</v>
      </c>
      <c r="W196" t="s">
        <v>52</v>
      </c>
      <c r="X196" s="15" t="s">
        <v>53</v>
      </c>
    </row>
    <row r="197" spans="1:24" ht="27">
      <c r="A197" s="4" t="s">
        <v>541</v>
      </c>
      <c r="B197" t="s">
        <v>44</v>
      </c>
      <c r="C197" t="s">
        <v>45</v>
      </c>
      <c r="D197" s="13" t="s">
        <v>542</v>
      </c>
      <c r="E197" t="s">
        <v>47</v>
      </c>
      <c r="F197" t="s">
        <v>48</v>
      </c>
      <c r="G197" t="s">
        <v>84</v>
      </c>
      <c r="H197" s="9">
        <v>330000000</v>
      </c>
      <c r="I197" s="9">
        <v>330000000</v>
      </c>
      <c r="J197" s="9">
        <f t="shared" si="9"/>
        <v>0</v>
      </c>
      <c r="K197" s="9">
        <v>0</v>
      </c>
      <c r="L197" s="9">
        <v>74551796</v>
      </c>
      <c r="M197" s="9">
        <f t="shared" si="10"/>
        <v>74551796</v>
      </c>
      <c r="N197" s="17">
        <v>0</v>
      </c>
      <c r="O197" s="17">
        <v>0.23</v>
      </c>
      <c r="P197" s="17">
        <f t="shared" si="11"/>
        <v>0.23</v>
      </c>
      <c r="Q197" t="s">
        <v>49</v>
      </c>
      <c r="R197" t="s">
        <v>49</v>
      </c>
      <c r="S197" s="13" t="s">
        <v>527</v>
      </c>
      <c r="T197" s="13" t="s">
        <v>527</v>
      </c>
      <c r="U197" s="13" t="s">
        <v>260</v>
      </c>
      <c r="V197" s="13" t="s">
        <v>260</v>
      </c>
      <c r="W197" t="s">
        <v>64</v>
      </c>
      <c r="X197" s="15" t="s">
        <v>543</v>
      </c>
    </row>
    <row r="198" spans="1:24" ht="27">
      <c r="A198" s="4" t="s">
        <v>544</v>
      </c>
      <c r="B198" t="s">
        <v>44</v>
      </c>
      <c r="C198" t="s">
        <v>45</v>
      </c>
      <c r="D198" s="13" t="s">
        <v>545</v>
      </c>
      <c r="E198" t="s">
        <v>47</v>
      </c>
      <c r="F198" t="s">
        <v>48</v>
      </c>
      <c r="G198" t="s">
        <v>48</v>
      </c>
      <c r="H198" s="9">
        <v>5500000</v>
      </c>
      <c r="I198" s="9">
        <v>5500000</v>
      </c>
      <c r="J198" s="9">
        <f t="shared" si="9"/>
        <v>0</v>
      </c>
      <c r="K198" s="9">
        <v>0</v>
      </c>
      <c r="L198" s="9">
        <v>0</v>
      </c>
      <c r="M198" s="9">
        <f t="shared" si="10"/>
        <v>0</v>
      </c>
      <c r="N198" s="17">
        <v>0</v>
      </c>
      <c r="O198" s="17">
        <v>0</v>
      </c>
      <c r="P198" s="17">
        <f t="shared" si="11"/>
        <v>0</v>
      </c>
      <c r="Q198" t="s">
        <v>49</v>
      </c>
      <c r="R198" t="s">
        <v>49</v>
      </c>
      <c r="S198" s="13" t="s">
        <v>546</v>
      </c>
      <c r="T198" s="13" t="s">
        <v>546</v>
      </c>
      <c r="U198" s="13" t="s">
        <v>260</v>
      </c>
      <c r="V198" s="13" t="s">
        <v>260</v>
      </c>
      <c r="W198" t="s">
        <v>52</v>
      </c>
      <c r="X198" s="15" t="s">
        <v>53</v>
      </c>
    </row>
    <row r="199" spans="1:24" ht="27">
      <c r="A199" s="4" t="s">
        <v>547</v>
      </c>
      <c r="B199" t="s">
        <v>44</v>
      </c>
      <c r="C199" t="s">
        <v>45</v>
      </c>
      <c r="D199" s="13" t="s">
        <v>548</v>
      </c>
      <c r="E199" t="s">
        <v>47</v>
      </c>
      <c r="F199" t="s">
        <v>48</v>
      </c>
      <c r="G199" t="s">
        <v>84</v>
      </c>
      <c r="H199" s="9">
        <v>35200000</v>
      </c>
      <c r="I199" s="9">
        <v>35200000</v>
      </c>
      <c r="J199" s="9">
        <f t="shared" si="9"/>
        <v>0</v>
      </c>
      <c r="K199" s="9">
        <v>0</v>
      </c>
      <c r="L199" s="9">
        <v>7960000</v>
      </c>
      <c r="M199" s="9">
        <f t="shared" si="10"/>
        <v>7960000</v>
      </c>
      <c r="N199" s="17">
        <v>0</v>
      </c>
      <c r="O199" s="17">
        <v>0.23</v>
      </c>
      <c r="P199" s="17">
        <f t="shared" si="11"/>
        <v>0.23</v>
      </c>
      <c r="Q199" t="s">
        <v>49</v>
      </c>
      <c r="R199" t="s">
        <v>49</v>
      </c>
      <c r="S199" s="13" t="s">
        <v>540</v>
      </c>
      <c r="T199" s="13" t="s">
        <v>540</v>
      </c>
      <c r="U199" s="13" t="s">
        <v>260</v>
      </c>
      <c r="V199" s="13" t="s">
        <v>260</v>
      </c>
      <c r="W199" t="s">
        <v>64</v>
      </c>
      <c r="X199" s="15" t="s">
        <v>549</v>
      </c>
    </row>
    <row r="200" spans="1:24" ht="27">
      <c r="A200" s="4" t="s">
        <v>550</v>
      </c>
      <c r="B200" t="s">
        <v>44</v>
      </c>
      <c r="C200" t="s">
        <v>45</v>
      </c>
      <c r="D200" s="13" t="s">
        <v>78</v>
      </c>
      <c r="E200" t="s">
        <v>47</v>
      </c>
      <c r="F200" t="s">
        <v>48</v>
      </c>
      <c r="G200" t="s">
        <v>48</v>
      </c>
      <c r="H200" s="9">
        <v>7000000</v>
      </c>
      <c r="I200" s="9">
        <v>7000000</v>
      </c>
      <c r="J200" s="9">
        <f t="shared" si="9"/>
        <v>0</v>
      </c>
      <c r="K200" s="9">
        <v>0</v>
      </c>
      <c r="L200" s="9">
        <v>0</v>
      </c>
      <c r="M200" s="9">
        <f t="shared" si="10"/>
        <v>0</v>
      </c>
      <c r="N200" s="17">
        <v>0</v>
      </c>
      <c r="O200" s="17">
        <v>0</v>
      </c>
      <c r="P200" s="17">
        <f t="shared" si="11"/>
        <v>0</v>
      </c>
      <c r="Q200" t="s">
        <v>49</v>
      </c>
      <c r="R200" t="s">
        <v>49</v>
      </c>
      <c r="S200" s="13" t="s">
        <v>551</v>
      </c>
      <c r="T200" s="13" t="s">
        <v>551</v>
      </c>
      <c r="U200" s="13" t="s">
        <v>260</v>
      </c>
      <c r="V200" s="13" t="s">
        <v>260</v>
      </c>
      <c r="W200" t="s">
        <v>52</v>
      </c>
      <c r="X200" s="15" t="s">
        <v>53</v>
      </c>
    </row>
    <row r="201" spans="1:24" ht="27">
      <c r="A201" s="4" t="s">
        <v>552</v>
      </c>
      <c r="B201" t="s">
        <v>44</v>
      </c>
      <c r="C201" t="s">
        <v>45</v>
      </c>
      <c r="D201" s="13" t="s">
        <v>208</v>
      </c>
      <c r="E201" t="s">
        <v>47</v>
      </c>
      <c r="F201" t="s">
        <v>48</v>
      </c>
      <c r="G201" t="s">
        <v>48</v>
      </c>
      <c r="H201" s="9">
        <v>16800000</v>
      </c>
      <c r="I201" s="9">
        <v>16800000</v>
      </c>
      <c r="J201" s="9">
        <f t="shared" si="9"/>
        <v>0</v>
      </c>
      <c r="K201" s="9">
        <v>0</v>
      </c>
      <c r="L201" s="9">
        <v>0</v>
      </c>
      <c r="M201" s="9">
        <f t="shared" si="10"/>
        <v>0</v>
      </c>
      <c r="N201" s="17">
        <v>0</v>
      </c>
      <c r="O201" s="17">
        <v>0</v>
      </c>
      <c r="P201" s="17">
        <f t="shared" si="11"/>
        <v>0</v>
      </c>
      <c r="Q201" t="s">
        <v>49</v>
      </c>
      <c r="R201" t="s">
        <v>49</v>
      </c>
      <c r="S201" s="13" t="s">
        <v>553</v>
      </c>
      <c r="T201" s="13" t="s">
        <v>553</v>
      </c>
      <c r="U201" s="13" t="s">
        <v>260</v>
      </c>
      <c r="V201" s="13" t="s">
        <v>260</v>
      </c>
      <c r="W201" t="s">
        <v>52</v>
      </c>
      <c r="X201" s="15" t="s">
        <v>53</v>
      </c>
    </row>
    <row r="202" spans="1:24" ht="27">
      <c r="A202" s="4" t="s">
        <v>554</v>
      </c>
      <c r="B202" t="s">
        <v>44</v>
      </c>
      <c r="C202" t="s">
        <v>45</v>
      </c>
      <c r="D202" s="13" t="s">
        <v>105</v>
      </c>
      <c r="E202" t="s">
        <v>47</v>
      </c>
      <c r="F202" t="s">
        <v>48</v>
      </c>
      <c r="G202" t="s">
        <v>48</v>
      </c>
      <c r="H202" s="9">
        <v>1120000</v>
      </c>
      <c r="I202" s="9">
        <v>1120000</v>
      </c>
      <c r="J202" s="9">
        <f t="shared" si="9"/>
        <v>0</v>
      </c>
      <c r="K202" s="9">
        <v>0</v>
      </c>
      <c r="L202" s="9">
        <v>0</v>
      </c>
      <c r="M202" s="9">
        <f t="shared" si="10"/>
        <v>0</v>
      </c>
      <c r="N202" s="17">
        <v>0</v>
      </c>
      <c r="O202" s="17">
        <v>0</v>
      </c>
      <c r="P202" s="17">
        <f t="shared" si="11"/>
        <v>0</v>
      </c>
      <c r="Q202" t="s">
        <v>49</v>
      </c>
      <c r="R202" t="s">
        <v>49</v>
      </c>
      <c r="S202" s="13" t="s">
        <v>555</v>
      </c>
      <c r="T202" s="13" t="s">
        <v>555</v>
      </c>
      <c r="U202" s="13" t="s">
        <v>260</v>
      </c>
      <c r="V202" s="13" t="s">
        <v>260</v>
      </c>
      <c r="W202" t="s">
        <v>52</v>
      </c>
      <c r="X202" s="15" t="s">
        <v>53</v>
      </c>
    </row>
    <row r="203" spans="1:24" ht="27">
      <c r="A203" s="4" t="s">
        <v>556</v>
      </c>
      <c r="B203" t="s">
        <v>44</v>
      </c>
      <c r="C203" t="s">
        <v>45</v>
      </c>
      <c r="D203" s="13" t="s">
        <v>80</v>
      </c>
      <c r="E203" t="s">
        <v>47</v>
      </c>
      <c r="F203" t="s">
        <v>48</v>
      </c>
      <c r="G203" t="s">
        <v>48</v>
      </c>
      <c r="H203" s="9">
        <v>1750000</v>
      </c>
      <c r="I203" s="9">
        <v>1750000</v>
      </c>
      <c r="J203" s="9">
        <f t="shared" si="9"/>
        <v>0</v>
      </c>
      <c r="K203" s="9">
        <v>0</v>
      </c>
      <c r="L203" s="9">
        <v>0</v>
      </c>
      <c r="M203" s="9">
        <f t="shared" si="10"/>
        <v>0</v>
      </c>
      <c r="N203" s="17">
        <v>0</v>
      </c>
      <c r="O203" s="17">
        <v>0</v>
      </c>
      <c r="P203" s="17">
        <f t="shared" si="11"/>
        <v>0</v>
      </c>
      <c r="Q203" t="s">
        <v>49</v>
      </c>
      <c r="R203" t="s">
        <v>49</v>
      </c>
      <c r="S203" s="13" t="s">
        <v>557</v>
      </c>
      <c r="T203" s="13" t="s">
        <v>557</v>
      </c>
      <c r="U203" s="13" t="s">
        <v>260</v>
      </c>
      <c r="V203" s="13" t="s">
        <v>260</v>
      </c>
      <c r="W203" t="s">
        <v>52</v>
      </c>
      <c r="X203" s="15" t="s">
        <v>53</v>
      </c>
    </row>
    <row r="204" spans="1:24" ht="27">
      <c r="A204" s="4" t="s">
        <v>558</v>
      </c>
      <c r="B204" t="s">
        <v>44</v>
      </c>
      <c r="C204" t="s">
        <v>45</v>
      </c>
      <c r="D204" s="13" t="s">
        <v>559</v>
      </c>
      <c r="E204" t="s">
        <v>47</v>
      </c>
      <c r="F204" t="s">
        <v>48</v>
      </c>
      <c r="G204" t="s">
        <v>48</v>
      </c>
      <c r="H204" s="9">
        <v>24000000</v>
      </c>
      <c r="I204" s="9">
        <v>24000000</v>
      </c>
      <c r="J204" s="9">
        <f t="shared" si="9"/>
        <v>0</v>
      </c>
      <c r="K204" s="9">
        <v>0</v>
      </c>
      <c r="L204" s="9">
        <v>0</v>
      </c>
      <c r="M204" s="9">
        <f t="shared" si="10"/>
        <v>0</v>
      </c>
      <c r="N204" s="17">
        <v>0</v>
      </c>
      <c r="O204" s="17">
        <v>0</v>
      </c>
      <c r="P204" s="17">
        <f t="shared" si="11"/>
        <v>0</v>
      </c>
      <c r="Q204" t="s">
        <v>49</v>
      </c>
      <c r="R204" t="s">
        <v>49</v>
      </c>
      <c r="S204" s="13" t="s">
        <v>560</v>
      </c>
      <c r="T204" s="13" t="s">
        <v>560</v>
      </c>
      <c r="U204" s="13" t="s">
        <v>260</v>
      </c>
      <c r="V204" s="13" t="s">
        <v>260</v>
      </c>
      <c r="W204" t="s">
        <v>52</v>
      </c>
      <c r="X204" s="15" t="s">
        <v>53</v>
      </c>
    </row>
    <row r="205" spans="1:24" ht="27">
      <c r="A205" s="4" t="s">
        <v>561</v>
      </c>
      <c r="B205" t="s">
        <v>44</v>
      </c>
      <c r="C205" t="s">
        <v>45</v>
      </c>
      <c r="D205" s="13" t="s">
        <v>199</v>
      </c>
      <c r="E205" t="s">
        <v>47</v>
      </c>
      <c r="F205" t="s">
        <v>48</v>
      </c>
      <c r="G205" t="s">
        <v>48</v>
      </c>
      <c r="H205" s="9">
        <v>33280000</v>
      </c>
      <c r="I205" s="9">
        <v>33280000</v>
      </c>
      <c r="J205" s="9">
        <f t="shared" si="9"/>
        <v>0</v>
      </c>
      <c r="K205" s="9">
        <v>0</v>
      </c>
      <c r="L205" s="9">
        <v>0</v>
      </c>
      <c r="M205" s="9">
        <f t="shared" si="10"/>
        <v>0</v>
      </c>
      <c r="N205" s="17">
        <v>0</v>
      </c>
      <c r="O205" s="17">
        <v>0</v>
      </c>
      <c r="P205" s="17">
        <f t="shared" si="11"/>
        <v>0</v>
      </c>
      <c r="Q205" t="s">
        <v>49</v>
      </c>
      <c r="R205" t="s">
        <v>49</v>
      </c>
      <c r="S205" s="13" t="s">
        <v>562</v>
      </c>
      <c r="T205" s="13" t="s">
        <v>562</v>
      </c>
      <c r="U205" s="13" t="s">
        <v>260</v>
      </c>
      <c r="V205" s="13" t="s">
        <v>260</v>
      </c>
      <c r="W205" t="s">
        <v>52</v>
      </c>
      <c r="X205" s="15" t="s">
        <v>53</v>
      </c>
    </row>
    <row r="206" spans="1:24" ht="40.5">
      <c r="A206" s="4" t="s">
        <v>563</v>
      </c>
      <c r="B206" t="s">
        <v>44</v>
      </c>
      <c r="C206" t="s">
        <v>45</v>
      </c>
      <c r="D206" s="13" t="s">
        <v>564</v>
      </c>
      <c r="E206" t="s">
        <v>47</v>
      </c>
      <c r="F206" t="s">
        <v>48</v>
      </c>
      <c r="G206" t="s">
        <v>48</v>
      </c>
      <c r="H206" s="9">
        <v>89920000</v>
      </c>
      <c r="I206" s="9">
        <v>89920000</v>
      </c>
      <c r="J206" s="9">
        <f t="shared" si="9"/>
        <v>0</v>
      </c>
      <c r="K206" s="9">
        <v>0</v>
      </c>
      <c r="L206" s="9">
        <v>0</v>
      </c>
      <c r="M206" s="9">
        <f t="shared" si="10"/>
        <v>0</v>
      </c>
      <c r="N206" s="17">
        <v>0</v>
      </c>
      <c r="O206" s="17">
        <v>0</v>
      </c>
      <c r="P206" s="17">
        <f t="shared" si="11"/>
        <v>0</v>
      </c>
      <c r="Q206" t="s">
        <v>49</v>
      </c>
      <c r="R206" t="s">
        <v>49</v>
      </c>
      <c r="S206" s="13" t="s">
        <v>565</v>
      </c>
      <c r="T206" s="13" t="s">
        <v>565</v>
      </c>
      <c r="U206" s="13" t="s">
        <v>350</v>
      </c>
      <c r="V206" s="13" t="s">
        <v>350</v>
      </c>
      <c r="W206" t="s">
        <v>52</v>
      </c>
      <c r="X206" s="15" t="s">
        <v>53</v>
      </c>
    </row>
    <row r="207" spans="1:24" ht="27">
      <c r="A207" s="4" t="s">
        <v>566</v>
      </c>
      <c r="B207" t="s">
        <v>44</v>
      </c>
      <c r="C207" t="s">
        <v>45</v>
      </c>
      <c r="D207" s="13" t="s">
        <v>100</v>
      </c>
      <c r="E207" t="s">
        <v>47</v>
      </c>
      <c r="F207" t="s">
        <v>48</v>
      </c>
      <c r="G207" t="s">
        <v>48</v>
      </c>
      <c r="H207" s="9">
        <v>11200000</v>
      </c>
      <c r="I207" s="9">
        <v>11200000</v>
      </c>
      <c r="J207" s="9">
        <f t="shared" si="9"/>
        <v>0</v>
      </c>
      <c r="K207" s="9">
        <v>0</v>
      </c>
      <c r="L207" s="9">
        <v>0</v>
      </c>
      <c r="M207" s="9">
        <f t="shared" si="10"/>
        <v>0</v>
      </c>
      <c r="N207" s="17">
        <v>0</v>
      </c>
      <c r="O207" s="17">
        <v>0</v>
      </c>
      <c r="P207" s="17">
        <f t="shared" si="11"/>
        <v>0</v>
      </c>
      <c r="Q207" t="s">
        <v>49</v>
      </c>
      <c r="R207" t="s">
        <v>49</v>
      </c>
      <c r="S207" s="13" t="s">
        <v>567</v>
      </c>
      <c r="T207" s="13" t="s">
        <v>567</v>
      </c>
      <c r="U207" s="13" t="s">
        <v>260</v>
      </c>
      <c r="V207" s="13" t="s">
        <v>260</v>
      </c>
      <c r="W207" t="s">
        <v>52</v>
      </c>
      <c r="X207" s="15" t="s">
        <v>53</v>
      </c>
    </row>
    <row r="208" spans="1:24" ht="27">
      <c r="A208" s="4" t="s">
        <v>568</v>
      </c>
      <c r="B208" t="s">
        <v>44</v>
      </c>
      <c r="C208" t="s">
        <v>45</v>
      </c>
      <c r="D208" s="13" t="s">
        <v>569</v>
      </c>
      <c r="E208" t="s">
        <v>47</v>
      </c>
      <c r="F208" t="s">
        <v>48</v>
      </c>
      <c r="G208" t="s">
        <v>48</v>
      </c>
      <c r="H208" s="9">
        <v>15000000</v>
      </c>
      <c r="I208" s="9">
        <v>15000000</v>
      </c>
      <c r="J208" s="9">
        <f t="shared" si="9"/>
        <v>0</v>
      </c>
      <c r="K208" s="9">
        <v>0</v>
      </c>
      <c r="L208" s="9">
        <v>0</v>
      </c>
      <c r="M208" s="9">
        <f t="shared" si="10"/>
        <v>0</v>
      </c>
      <c r="N208" s="17">
        <v>0</v>
      </c>
      <c r="O208" s="17">
        <v>0</v>
      </c>
      <c r="P208" s="17">
        <f t="shared" si="11"/>
        <v>0</v>
      </c>
      <c r="Q208" t="s">
        <v>49</v>
      </c>
      <c r="R208" t="s">
        <v>49</v>
      </c>
      <c r="S208" s="13" t="s">
        <v>570</v>
      </c>
      <c r="T208" s="13" t="s">
        <v>570</v>
      </c>
      <c r="U208" s="13" t="s">
        <v>260</v>
      </c>
      <c r="V208" s="13" t="s">
        <v>260</v>
      </c>
      <c r="W208" t="s">
        <v>52</v>
      </c>
      <c r="X208" s="15" t="s">
        <v>53</v>
      </c>
    </row>
    <row r="209" spans="1:24" ht="40.5">
      <c r="A209" s="4" t="s">
        <v>571</v>
      </c>
      <c r="B209" t="s">
        <v>44</v>
      </c>
      <c r="C209" t="s">
        <v>45</v>
      </c>
      <c r="D209" s="13" t="s">
        <v>199</v>
      </c>
      <c r="E209" t="s">
        <v>47</v>
      </c>
      <c r="F209" t="s">
        <v>48</v>
      </c>
      <c r="G209" t="s">
        <v>48</v>
      </c>
      <c r="H209" s="9">
        <v>16640000</v>
      </c>
      <c r="I209" s="9">
        <v>16640000</v>
      </c>
      <c r="J209" s="9">
        <f t="shared" si="9"/>
        <v>0</v>
      </c>
      <c r="K209" s="9">
        <v>0</v>
      </c>
      <c r="L209" s="9">
        <v>0</v>
      </c>
      <c r="M209" s="9">
        <f t="shared" si="10"/>
        <v>0</v>
      </c>
      <c r="N209" s="17">
        <v>0</v>
      </c>
      <c r="O209" s="17">
        <v>0</v>
      </c>
      <c r="P209" s="17">
        <f t="shared" si="11"/>
        <v>0</v>
      </c>
      <c r="Q209" t="s">
        <v>49</v>
      </c>
      <c r="R209" t="s">
        <v>49</v>
      </c>
      <c r="S209" s="13" t="s">
        <v>572</v>
      </c>
      <c r="T209" s="13" t="s">
        <v>572</v>
      </c>
      <c r="U209" s="13" t="s">
        <v>260</v>
      </c>
      <c r="V209" s="13" t="s">
        <v>260</v>
      </c>
      <c r="W209" t="s">
        <v>52</v>
      </c>
      <c r="X209" s="15" t="s">
        <v>53</v>
      </c>
    </row>
    <row r="210" spans="1:24" ht="27">
      <c r="A210" s="4" t="s">
        <v>573</v>
      </c>
      <c r="B210" t="s">
        <v>44</v>
      </c>
      <c r="C210" t="s">
        <v>45</v>
      </c>
      <c r="D210" s="13" t="s">
        <v>208</v>
      </c>
      <c r="E210" t="s">
        <v>47</v>
      </c>
      <c r="F210" t="s">
        <v>48</v>
      </c>
      <c r="G210" t="s">
        <v>48</v>
      </c>
      <c r="H210" s="9">
        <v>16800000</v>
      </c>
      <c r="I210" s="9">
        <v>16800000</v>
      </c>
      <c r="J210" s="9">
        <f t="shared" si="9"/>
        <v>0</v>
      </c>
      <c r="K210" s="9">
        <v>0</v>
      </c>
      <c r="L210" s="9">
        <v>0</v>
      </c>
      <c r="M210" s="9">
        <f t="shared" si="10"/>
        <v>0</v>
      </c>
      <c r="N210" s="17">
        <v>0</v>
      </c>
      <c r="O210" s="17">
        <v>0</v>
      </c>
      <c r="P210" s="17">
        <f t="shared" si="11"/>
        <v>0</v>
      </c>
      <c r="Q210" t="s">
        <v>49</v>
      </c>
      <c r="R210" t="s">
        <v>49</v>
      </c>
      <c r="S210" s="13" t="s">
        <v>553</v>
      </c>
      <c r="T210" s="13" t="s">
        <v>553</v>
      </c>
      <c r="U210" s="13" t="s">
        <v>260</v>
      </c>
      <c r="V210" s="13" t="s">
        <v>260</v>
      </c>
      <c r="W210" t="s">
        <v>52</v>
      </c>
      <c r="X210" s="15" t="s">
        <v>53</v>
      </c>
    </row>
    <row r="211" spans="1:24" ht="40.5">
      <c r="A211" s="4" t="s">
        <v>574</v>
      </c>
      <c r="B211" t="s">
        <v>44</v>
      </c>
      <c r="C211" t="s">
        <v>45</v>
      </c>
      <c r="D211" s="13" t="s">
        <v>232</v>
      </c>
      <c r="E211" t="s">
        <v>47</v>
      </c>
      <c r="F211" t="s">
        <v>48</v>
      </c>
      <c r="G211" t="s">
        <v>48</v>
      </c>
      <c r="H211" s="9">
        <v>5760000</v>
      </c>
      <c r="I211" s="9">
        <v>5760000</v>
      </c>
      <c r="J211" s="9">
        <f t="shared" si="9"/>
        <v>0</v>
      </c>
      <c r="K211" s="9">
        <v>0</v>
      </c>
      <c r="L211" s="9">
        <v>0</v>
      </c>
      <c r="M211" s="9">
        <f t="shared" si="10"/>
        <v>0</v>
      </c>
      <c r="N211" s="17">
        <v>0</v>
      </c>
      <c r="O211" s="17">
        <v>0</v>
      </c>
      <c r="P211" s="17">
        <f t="shared" si="11"/>
        <v>0</v>
      </c>
      <c r="Q211" t="s">
        <v>49</v>
      </c>
      <c r="R211" t="s">
        <v>49</v>
      </c>
      <c r="S211" s="13" t="s">
        <v>575</v>
      </c>
      <c r="T211" s="13" t="s">
        <v>575</v>
      </c>
      <c r="U211" s="13" t="s">
        <v>171</v>
      </c>
      <c r="V211" s="13" t="s">
        <v>171</v>
      </c>
      <c r="W211" t="s">
        <v>52</v>
      </c>
      <c r="X211" s="15" t="s">
        <v>53</v>
      </c>
    </row>
    <row r="212" spans="1:24" ht="40.5">
      <c r="A212" s="4" t="s">
        <v>576</v>
      </c>
      <c r="B212" t="s">
        <v>44</v>
      </c>
      <c r="C212" t="s">
        <v>45</v>
      </c>
      <c r="D212" s="13" t="s">
        <v>577</v>
      </c>
      <c r="E212" t="s">
        <v>47</v>
      </c>
      <c r="F212" t="s">
        <v>48</v>
      </c>
      <c r="G212" t="s">
        <v>48</v>
      </c>
      <c r="H212" s="9">
        <v>8960000</v>
      </c>
      <c r="I212" s="9">
        <v>8960000</v>
      </c>
      <c r="J212" s="9">
        <f t="shared" si="9"/>
        <v>0</v>
      </c>
      <c r="K212" s="9">
        <v>0</v>
      </c>
      <c r="L212" s="9">
        <v>0</v>
      </c>
      <c r="M212" s="9">
        <f t="shared" si="10"/>
        <v>0</v>
      </c>
      <c r="N212" s="17">
        <v>0</v>
      </c>
      <c r="O212" s="17">
        <v>0</v>
      </c>
      <c r="P212" s="17">
        <f t="shared" si="11"/>
        <v>0</v>
      </c>
      <c r="Q212" t="s">
        <v>49</v>
      </c>
      <c r="R212" t="s">
        <v>49</v>
      </c>
      <c r="S212" s="13" t="s">
        <v>578</v>
      </c>
      <c r="T212" s="13" t="s">
        <v>578</v>
      </c>
      <c r="U212" s="13" t="s">
        <v>63</v>
      </c>
      <c r="V212" s="13" t="s">
        <v>63</v>
      </c>
      <c r="W212" t="s">
        <v>52</v>
      </c>
      <c r="X212" s="15" t="s">
        <v>53</v>
      </c>
    </row>
    <row r="213" spans="1:24" ht="40.5">
      <c r="A213" s="4" t="s">
        <v>579</v>
      </c>
      <c r="B213" t="s">
        <v>44</v>
      </c>
      <c r="C213" t="s">
        <v>45</v>
      </c>
      <c r="D213" s="13" t="s">
        <v>189</v>
      </c>
      <c r="E213" t="s">
        <v>47</v>
      </c>
      <c r="F213" t="s">
        <v>48</v>
      </c>
      <c r="G213" t="s">
        <v>48</v>
      </c>
      <c r="H213" s="9">
        <v>10880000</v>
      </c>
      <c r="I213" s="9">
        <v>10880000</v>
      </c>
      <c r="J213" s="9">
        <f t="shared" si="9"/>
        <v>0</v>
      </c>
      <c r="K213" s="9">
        <v>0</v>
      </c>
      <c r="L213" s="9">
        <v>0</v>
      </c>
      <c r="M213" s="9">
        <f t="shared" si="10"/>
        <v>0</v>
      </c>
      <c r="N213" s="17">
        <v>0</v>
      </c>
      <c r="O213" s="17">
        <v>0</v>
      </c>
      <c r="P213" s="17">
        <f t="shared" si="11"/>
        <v>0</v>
      </c>
      <c r="Q213" t="s">
        <v>49</v>
      </c>
      <c r="R213" t="s">
        <v>49</v>
      </c>
      <c r="S213" s="13" t="s">
        <v>580</v>
      </c>
      <c r="T213" s="13" t="s">
        <v>580</v>
      </c>
      <c r="U213" s="13" t="s">
        <v>63</v>
      </c>
      <c r="V213" s="13" t="s">
        <v>63</v>
      </c>
      <c r="W213" t="s">
        <v>52</v>
      </c>
      <c r="X213" s="15" t="s">
        <v>53</v>
      </c>
    </row>
    <row r="214" spans="1:24" ht="27">
      <c r="A214" s="4" t="s">
        <v>581</v>
      </c>
      <c r="B214" t="s">
        <v>44</v>
      </c>
      <c r="C214" t="s">
        <v>45</v>
      </c>
      <c r="D214" s="13" t="s">
        <v>186</v>
      </c>
      <c r="E214" t="s">
        <v>47</v>
      </c>
      <c r="F214" t="s">
        <v>48</v>
      </c>
      <c r="G214" t="s">
        <v>48</v>
      </c>
      <c r="H214" s="9">
        <v>11200000</v>
      </c>
      <c r="I214" s="9">
        <v>11200000</v>
      </c>
      <c r="J214" s="9">
        <f t="shared" si="9"/>
        <v>0</v>
      </c>
      <c r="K214" s="9">
        <v>0</v>
      </c>
      <c r="L214" s="9">
        <v>0</v>
      </c>
      <c r="M214" s="9">
        <f t="shared" si="10"/>
        <v>0</v>
      </c>
      <c r="N214" s="17">
        <v>0</v>
      </c>
      <c r="O214" s="17">
        <v>0</v>
      </c>
      <c r="P214" s="17">
        <f t="shared" si="11"/>
        <v>0</v>
      </c>
      <c r="Q214" t="s">
        <v>49</v>
      </c>
      <c r="R214" t="s">
        <v>49</v>
      </c>
      <c r="S214" s="13" t="s">
        <v>567</v>
      </c>
      <c r="T214" s="13" t="s">
        <v>567</v>
      </c>
      <c r="U214" s="13" t="s">
        <v>260</v>
      </c>
      <c r="V214" s="13" t="s">
        <v>260</v>
      </c>
      <c r="W214" t="s">
        <v>52</v>
      </c>
      <c r="X214" s="15" t="s">
        <v>53</v>
      </c>
    </row>
    <row r="215" spans="1:24" ht="27">
      <c r="A215" s="4" t="s">
        <v>582</v>
      </c>
      <c r="B215" t="s">
        <v>44</v>
      </c>
      <c r="C215" t="s">
        <v>45</v>
      </c>
      <c r="D215" s="13" t="s">
        <v>583</v>
      </c>
      <c r="E215" t="s">
        <v>47</v>
      </c>
      <c r="F215" t="s">
        <v>48</v>
      </c>
      <c r="G215" t="s">
        <v>48</v>
      </c>
      <c r="H215" s="9">
        <v>19500000</v>
      </c>
      <c r="I215" s="9">
        <v>19500000</v>
      </c>
      <c r="J215" s="9">
        <f t="shared" si="9"/>
        <v>0</v>
      </c>
      <c r="K215" s="9">
        <v>0</v>
      </c>
      <c r="L215" s="9">
        <v>0</v>
      </c>
      <c r="M215" s="9">
        <f t="shared" si="10"/>
        <v>0</v>
      </c>
      <c r="N215" s="17">
        <v>0</v>
      </c>
      <c r="O215" s="17">
        <v>0</v>
      </c>
      <c r="P215" s="17">
        <f t="shared" si="11"/>
        <v>0</v>
      </c>
      <c r="Q215" t="s">
        <v>49</v>
      </c>
      <c r="R215" t="s">
        <v>49</v>
      </c>
      <c r="S215" s="13" t="s">
        <v>584</v>
      </c>
      <c r="T215" s="13" t="s">
        <v>584</v>
      </c>
      <c r="U215" s="13" t="s">
        <v>260</v>
      </c>
      <c r="V215" s="13" t="s">
        <v>260</v>
      </c>
      <c r="W215" t="s">
        <v>52</v>
      </c>
      <c r="X215" s="15" t="s">
        <v>53</v>
      </c>
    </row>
    <row r="216" spans="1:24" ht="27">
      <c r="A216" s="4" t="s">
        <v>585</v>
      </c>
      <c r="B216" t="s">
        <v>44</v>
      </c>
      <c r="C216" t="s">
        <v>45</v>
      </c>
      <c r="D216" s="13" t="s">
        <v>586</v>
      </c>
      <c r="E216" t="s">
        <v>47</v>
      </c>
      <c r="F216" t="s">
        <v>48</v>
      </c>
      <c r="G216" t="s">
        <v>48</v>
      </c>
      <c r="H216" s="9">
        <v>29500000</v>
      </c>
      <c r="I216" s="9">
        <v>29500000</v>
      </c>
      <c r="J216" s="9">
        <f t="shared" si="9"/>
        <v>0</v>
      </c>
      <c r="K216" s="9">
        <v>0</v>
      </c>
      <c r="L216" s="9">
        <v>0</v>
      </c>
      <c r="M216" s="9">
        <f t="shared" si="10"/>
        <v>0</v>
      </c>
      <c r="N216" s="17">
        <v>0</v>
      </c>
      <c r="O216" s="17">
        <v>0</v>
      </c>
      <c r="P216" s="17">
        <f t="shared" si="11"/>
        <v>0</v>
      </c>
      <c r="Q216" t="s">
        <v>49</v>
      </c>
      <c r="R216" t="s">
        <v>49</v>
      </c>
      <c r="S216" s="13" t="s">
        <v>587</v>
      </c>
      <c r="T216" s="13" t="s">
        <v>587</v>
      </c>
      <c r="U216" s="13" t="s">
        <v>260</v>
      </c>
      <c r="V216" s="13" t="s">
        <v>260</v>
      </c>
      <c r="W216" t="s">
        <v>52</v>
      </c>
      <c r="X216" s="15" t="s">
        <v>53</v>
      </c>
    </row>
    <row r="217" spans="1:24" ht="27">
      <c r="A217" s="4" t="s">
        <v>588</v>
      </c>
      <c r="B217" t="s">
        <v>44</v>
      </c>
      <c r="C217" t="s">
        <v>45</v>
      </c>
      <c r="D217" s="13" t="s">
        <v>589</v>
      </c>
      <c r="E217" t="s">
        <v>47</v>
      </c>
      <c r="F217" t="s">
        <v>48</v>
      </c>
      <c r="G217" t="s">
        <v>48</v>
      </c>
      <c r="H217" s="9">
        <v>15000000</v>
      </c>
      <c r="I217" s="9">
        <v>15000000</v>
      </c>
      <c r="J217" s="9">
        <f t="shared" si="9"/>
        <v>0</v>
      </c>
      <c r="K217" s="9">
        <v>0</v>
      </c>
      <c r="L217" s="9">
        <v>0</v>
      </c>
      <c r="M217" s="9">
        <f t="shared" si="10"/>
        <v>0</v>
      </c>
      <c r="N217" s="17">
        <v>0</v>
      </c>
      <c r="O217" s="17">
        <v>0</v>
      </c>
      <c r="P217" s="17">
        <f t="shared" si="11"/>
        <v>0</v>
      </c>
      <c r="Q217" t="s">
        <v>49</v>
      </c>
      <c r="R217" t="s">
        <v>49</v>
      </c>
      <c r="S217" s="13" t="s">
        <v>570</v>
      </c>
      <c r="T217" s="13" t="s">
        <v>570</v>
      </c>
      <c r="U217" s="13" t="s">
        <v>260</v>
      </c>
      <c r="V217" s="13" t="s">
        <v>260</v>
      </c>
      <c r="W217" t="s">
        <v>52</v>
      </c>
      <c r="X217" s="15" t="s">
        <v>53</v>
      </c>
    </row>
    <row r="218" spans="1:24" ht="27">
      <c r="A218" s="4" t="s">
        <v>590</v>
      </c>
      <c r="B218" t="s">
        <v>44</v>
      </c>
      <c r="C218" t="s">
        <v>45</v>
      </c>
      <c r="D218" s="13" t="s">
        <v>591</v>
      </c>
      <c r="E218" t="s">
        <v>47</v>
      </c>
      <c r="F218" t="s">
        <v>48</v>
      </c>
      <c r="G218" t="s">
        <v>48</v>
      </c>
      <c r="H218" s="9">
        <v>33500000</v>
      </c>
      <c r="I218" s="9">
        <v>33500000</v>
      </c>
      <c r="J218" s="9">
        <f t="shared" si="9"/>
        <v>0</v>
      </c>
      <c r="K218" s="9">
        <v>0</v>
      </c>
      <c r="L218" s="9">
        <v>0</v>
      </c>
      <c r="M218" s="9">
        <f t="shared" si="10"/>
        <v>0</v>
      </c>
      <c r="N218" s="17">
        <v>0</v>
      </c>
      <c r="O218" s="17">
        <v>0</v>
      </c>
      <c r="P218" s="17">
        <f t="shared" si="11"/>
        <v>0</v>
      </c>
      <c r="Q218" t="s">
        <v>49</v>
      </c>
      <c r="R218" t="s">
        <v>49</v>
      </c>
      <c r="S218" s="13" t="s">
        <v>592</v>
      </c>
      <c r="T218" s="13" t="s">
        <v>592</v>
      </c>
      <c r="U218" s="13" t="s">
        <v>260</v>
      </c>
      <c r="V218" s="13" t="s">
        <v>260</v>
      </c>
      <c r="W218" t="s">
        <v>52</v>
      </c>
      <c r="X218" s="15" t="s">
        <v>53</v>
      </c>
    </row>
    <row r="219" spans="1:24" ht="27">
      <c r="A219" s="4" t="s">
        <v>593</v>
      </c>
      <c r="B219" t="s">
        <v>44</v>
      </c>
      <c r="C219" t="s">
        <v>45</v>
      </c>
      <c r="D219" s="13" t="s">
        <v>594</v>
      </c>
      <c r="E219" t="s">
        <v>47</v>
      </c>
      <c r="F219" t="s">
        <v>48</v>
      </c>
      <c r="G219" t="s">
        <v>48</v>
      </c>
      <c r="H219" s="9">
        <v>22000000</v>
      </c>
      <c r="I219" s="9">
        <v>22000000</v>
      </c>
      <c r="J219" s="9">
        <f t="shared" si="9"/>
        <v>0</v>
      </c>
      <c r="K219" s="9">
        <v>0</v>
      </c>
      <c r="L219" s="9">
        <v>0</v>
      </c>
      <c r="M219" s="9">
        <f t="shared" si="10"/>
        <v>0</v>
      </c>
      <c r="N219" s="17">
        <v>0</v>
      </c>
      <c r="O219" s="17">
        <v>0</v>
      </c>
      <c r="P219" s="17">
        <f t="shared" si="11"/>
        <v>0</v>
      </c>
      <c r="Q219" t="s">
        <v>49</v>
      </c>
      <c r="R219" t="s">
        <v>49</v>
      </c>
      <c r="S219" s="13" t="s">
        <v>595</v>
      </c>
      <c r="T219" s="13" t="s">
        <v>595</v>
      </c>
      <c r="U219" s="13" t="s">
        <v>260</v>
      </c>
      <c r="V219" s="13" t="s">
        <v>260</v>
      </c>
      <c r="W219" t="s">
        <v>52</v>
      </c>
      <c r="X219" s="15" t="s">
        <v>53</v>
      </c>
    </row>
    <row r="220" spans="1:24" ht="40.5">
      <c r="A220" s="4" t="s">
        <v>596</v>
      </c>
      <c r="B220" t="s">
        <v>44</v>
      </c>
      <c r="C220" t="s">
        <v>45</v>
      </c>
      <c r="D220" s="13" t="s">
        <v>597</v>
      </c>
      <c r="E220" t="s">
        <v>47</v>
      </c>
      <c r="F220" t="s">
        <v>48</v>
      </c>
      <c r="G220" t="s">
        <v>48</v>
      </c>
      <c r="H220" s="9">
        <v>44000000</v>
      </c>
      <c r="I220" s="9">
        <v>44000000</v>
      </c>
      <c r="J220" s="9">
        <f t="shared" si="9"/>
        <v>0</v>
      </c>
      <c r="K220" s="9">
        <v>0</v>
      </c>
      <c r="L220" s="9">
        <v>0</v>
      </c>
      <c r="M220" s="9">
        <f t="shared" si="10"/>
        <v>0</v>
      </c>
      <c r="N220" s="17">
        <v>0</v>
      </c>
      <c r="O220" s="17">
        <v>0</v>
      </c>
      <c r="P220" s="17">
        <f t="shared" si="11"/>
        <v>0</v>
      </c>
      <c r="Q220" t="s">
        <v>49</v>
      </c>
      <c r="R220" t="s">
        <v>49</v>
      </c>
      <c r="S220" s="13" t="s">
        <v>598</v>
      </c>
      <c r="T220" s="13" t="s">
        <v>598</v>
      </c>
      <c r="U220" s="13" t="s">
        <v>171</v>
      </c>
      <c r="V220" s="13" t="s">
        <v>171</v>
      </c>
      <c r="W220" t="s">
        <v>52</v>
      </c>
      <c r="X220" s="15" t="s">
        <v>53</v>
      </c>
    </row>
    <row r="221" spans="1:24" ht="40.5">
      <c r="A221" s="4" t="s">
        <v>599</v>
      </c>
      <c r="B221" t="s">
        <v>44</v>
      </c>
      <c r="C221" t="s">
        <v>45</v>
      </c>
      <c r="D221" s="13" t="s">
        <v>600</v>
      </c>
      <c r="E221" t="s">
        <v>47</v>
      </c>
      <c r="F221" t="s">
        <v>48</v>
      </c>
      <c r="G221" t="s">
        <v>48</v>
      </c>
      <c r="H221" s="9">
        <v>71993000</v>
      </c>
      <c r="I221" s="9">
        <v>71993000</v>
      </c>
      <c r="J221" s="9">
        <f t="shared" si="9"/>
        <v>0</v>
      </c>
      <c r="K221" s="9">
        <v>0</v>
      </c>
      <c r="L221" s="9">
        <v>0</v>
      </c>
      <c r="M221" s="9">
        <f t="shared" si="10"/>
        <v>0</v>
      </c>
      <c r="N221" s="17">
        <v>0</v>
      </c>
      <c r="O221" s="17">
        <v>0</v>
      </c>
      <c r="P221" s="17">
        <f t="shared" si="11"/>
        <v>0</v>
      </c>
      <c r="Q221" t="s">
        <v>49</v>
      </c>
      <c r="R221" t="s">
        <v>49</v>
      </c>
      <c r="S221" s="13" t="s">
        <v>601</v>
      </c>
      <c r="T221" s="13" t="s">
        <v>601</v>
      </c>
      <c r="U221" s="13" t="s">
        <v>350</v>
      </c>
      <c r="V221" s="13" t="s">
        <v>350</v>
      </c>
      <c r="W221" t="s">
        <v>52</v>
      </c>
      <c r="X221" s="15" t="s">
        <v>53</v>
      </c>
    </row>
    <row r="222" spans="1:24" ht="40.5">
      <c r="A222" s="4" t="s">
        <v>602</v>
      </c>
      <c r="B222" t="s">
        <v>44</v>
      </c>
      <c r="C222" t="s">
        <v>45</v>
      </c>
      <c r="D222" s="13" t="s">
        <v>199</v>
      </c>
      <c r="E222" t="s">
        <v>47</v>
      </c>
      <c r="F222" t="s">
        <v>48</v>
      </c>
      <c r="G222" t="s">
        <v>48</v>
      </c>
      <c r="H222" s="9">
        <v>49920000</v>
      </c>
      <c r="I222" s="9">
        <v>49920000</v>
      </c>
      <c r="J222" s="9">
        <f t="shared" si="9"/>
        <v>0</v>
      </c>
      <c r="K222" s="9">
        <v>0</v>
      </c>
      <c r="L222" s="9">
        <v>0</v>
      </c>
      <c r="M222" s="9">
        <f t="shared" si="10"/>
        <v>0</v>
      </c>
      <c r="N222" s="17">
        <v>0</v>
      </c>
      <c r="O222" s="17">
        <v>0</v>
      </c>
      <c r="P222" s="17">
        <f t="shared" si="11"/>
        <v>0</v>
      </c>
      <c r="Q222" t="s">
        <v>49</v>
      </c>
      <c r="R222" t="s">
        <v>49</v>
      </c>
      <c r="S222" s="13" t="s">
        <v>603</v>
      </c>
      <c r="T222" s="13" t="s">
        <v>603</v>
      </c>
      <c r="U222" s="13" t="s">
        <v>260</v>
      </c>
      <c r="V222" s="13" t="s">
        <v>260</v>
      </c>
      <c r="W222" t="s">
        <v>52</v>
      </c>
      <c r="X222" s="15" t="s">
        <v>53</v>
      </c>
    </row>
    <row r="223" spans="1:24" ht="27">
      <c r="A223" s="4" t="s">
        <v>604</v>
      </c>
      <c r="B223" t="s">
        <v>44</v>
      </c>
      <c r="C223" t="s">
        <v>45</v>
      </c>
      <c r="D223" s="13" t="s">
        <v>189</v>
      </c>
      <c r="E223" t="s">
        <v>47</v>
      </c>
      <c r="F223" t="s">
        <v>48</v>
      </c>
      <c r="G223" t="s">
        <v>48</v>
      </c>
      <c r="H223" s="9">
        <v>10880000</v>
      </c>
      <c r="I223" s="9">
        <v>10880000</v>
      </c>
      <c r="J223" s="9">
        <f t="shared" si="9"/>
        <v>0</v>
      </c>
      <c r="K223" s="9">
        <v>0</v>
      </c>
      <c r="L223" s="9">
        <v>0</v>
      </c>
      <c r="M223" s="9">
        <f t="shared" si="10"/>
        <v>0</v>
      </c>
      <c r="N223" s="17">
        <v>0</v>
      </c>
      <c r="O223" s="17">
        <v>0</v>
      </c>
      <c r="P223" s="17">
        <f t="shared" si="11"/>
        <v>0</v>
      </c>
      <c r="Q223" t="s">
        <v>49</v>
      </c>
      <c r="R223" t="s">
        <v>49</v>
      </c>
      <c r="S223" s="13" t="s">
        <v>605</v>
      </c>
      <c r="T223" s="13" t="s">
        <v>605</v>
      </c>
      <c r="U223" s="13" t="s">
        <v>260</v>
      </c>
      <c r="V223" s="13" t="s">
        <v>260</v>
      </c>
      <c r="W223" t="s">
        <v>52</v>
      </c>
      <c r="X223" s="15" t="s">
        <v>53</v>
      </c>
    </row>
    <row r="224" spans="1:24" ht="27">
      <c r="A224" s="4" t="s">
        <v>606</v>
      </c>
      <c r="B224" t="s">
        <v>44</v>
      </c>
      <c r="C224" t="s">
        <v>45</v>
      </c>
      <c r="D224" s="13" t="s">
        <v>186</v>
      </c>
      <c r="E224" t="s">
        <v>56</v>
      </c>
      <c r="F224" t="s">
        <v>48</v>
      </c>
      <c r="G224" t="s">
        <v>48</v>
      </c>
      <c r="H224" s="9">
        <v>11200000</v>
      </c>
      <c r="I224" s="9">
        <v>11200000</v>
      </c>
      <c r="J224" s="9">
        <f t="shared" si="9"/>
        <v>0</v>
      </c>
      <c r="K224" s="9">
        <v>0</v>
      </c>
      <c r="L224" s="9">
        <v>0</v>
      </c>
      <c r="M224" s="9">
        <f t="shared" si="10"/>
        <v>0</v>
      </c>
      <c r="N224" s="17">
        <v>0</v>
      </c>
      <c r="O224" s="17">
        <v>0</v>
      </c>
      <c r="P224" s="17">
        <f t="shared" si="11"/>
        <v>0</v>
      </c>
      <c r="Q224" t="s">
        <v>49</v>
      </c>
      <c r="R224" t="s">
        <v>49</v>
      </c>
      <c r="S224" s="13" t="s">
        <v>527</v>
      </c>
      <c r="T224" s="13" t="s">
        <v>527</v>
      </c>
      <c r="U224" s="13" t="s">
        <v>260</v>
      </c>
      <c r="V224" s="13" t="s">
        <v>260</v>
      </c>
      <c r="W224" t="s">
        <v>52</v>
      </c>
      <c r="X224" s="15" t="s">
        <v>53</v>
      </c>
    </row>
    <row r="225" spans="1:24" ht="27">
      <c r="A225" s="4" t="s">
        <v>607</v>
      </c>
      <c r="B225" t="s">
        <v>44</v>
      </c>
      <c r="C225" t="s">
        <v>45</v>
      </c>
      <c r="D225" s="13" t="s">
        <v>208</v>
      </c>
      <c r="E225" t="s">
        <v>56</v>
      </c>
      <c r="F225" t="s">
        <v>329</v>
      </c>
      <c r="G225" t="s">
        <v>329</v>
      </c>
      <c r="H225" s="9">
        <v>9600000</v>
      </c>
      <c r="I225" s="9">
        <v>9600000</v>
      </c>
      <c r="J225" s="9">
        <f t="shared" si="9"/>
        <v>0</v>
      </c>
      <c r="K225" s="9">
        <v>9564470</v>
      </c>
      <c r="L225" s="9">
        <v>9564470</v>
      </c>
      <c r="M225" s="9">
        <f t="shared" si="10"/>
        <v>0</v>
      </c>
      <c r="N225" s="17">
        <v>1</v>
      </c>
      <c r="O225" s="17">
        <v>1</v>
      </c>
      <c r="P225" s="17">
        <f t="shared" si="11"/>
        <v>0</v>
      </c>
      <c r="Q225" t="s">
        <v>49</v>
      </c>
      <c r="R225" t="s">
        <v>49</v>
      </c>
      <c r="S225" s="13" t="s">
        <v>527</v>
      </c>
      <c r="T225" s="13" t="s">
        <v>527</v>
      </c>
      <c r="U225" s="13" t="s">
        <v>260</v>
      </c>
      <c r="V225" s="13" t="s">
        <v>260</v>
      </c>
      <c r="W225" t="s">
        <v>52</v>
      </c>
      <c r="X225" s="15" t="s">
        <v>53</v>
      </c>
    </row>
    <row r="226" spans="1:24" ht="27">
      <c r="A226" s="4" t="s">
        <v>608</v>
      </c>
      <c r="B226" t="s">
        <v>44</v>
      </c>
      <c r="C226" t="s">
        <v>45</v>
      </c>
      <c r="D226" s="13" t="s">
        <v>208</v>
      </c>
      <c r="E226" t="s">
        <v>56</v>
      </c>
      <c r="F226" t="s">
        <v>329</v>
      </c>
      <c r="G226" t="s">
        <v>329</v>
      </c>
      <c r="H226" s="9">
        <v>7200000</v>
      </c>
      <c r="I226" s="9">
        <v>7200000</v>
      </c>
      <c r="J226" s="9">
        <f t="shared" si="9"/>
        <v>0</v>
      </c>
      <c r="K226" s="9">
        <v>7173353</v>
      </c>
      <c r="L226" s="9">
        <v>7173353</v>
      </c>
      <c r="M226" s="9">
        <f t="shared" si="10"/>
        <v>0</v>
      </c>
      <c r="N226" s="17">
        <v>1</v>
      </c>
      <c r="O226" s="17">
        <v>1</v>
      </c>
      <c r="P226" s="17">
        <f t="shared" si="11"/>
        <v>0</v>
      </c>
      <c r="Q226" t="s">
        <v>49</v>
      </c>
      <c r="R226" t="s">
        <v>49</v>
      </c>
      <c r="S226" s="13" t="s">
        <v>527</v>
      </c>
      <c r="T226" s="13" t="s">
        <v>527</v>
      </c>
      <c r="U226" s="13" t="s">
        <v>260</v>
      </c>
      <c r="V226" s="13" t="s">
        <v>260</v>
      </c>
      <c r="W226" t="s">
        <v>52</v>
      </c>
      <c r="X226" s="15" t="s">
        <v>53</v>
      </c>
    </row>
    <row r="227" spans="1:24" ht="40.5">
      <c r="A227" s="4" t="s">
        <v>609</v>
      </c>
      <c r="B227" t="s">
        <v>44</v>
      </c>
      <c r="C227" t="s">
        <v>45</v>
      </c>
      <c r="D227" s="13" t="s">
        <v>610</v>
      </c>
      <c r="E227" t="s">
        <v>47</v>
      </c>
      <c r="F227" t="s">
        <v>48</v>
      </c>
      <c r="G227" t="s">
        <v>48</v>
      </c>
      <c r="H227" s="9">
        <v>110000000</v>
      </c>
      <c r="I227" s="9">
        <v>110000000</v>
      </c>
      <c r="J227" s="9">
        <f t="shared" si="9"/>
        <v>0</v>
      </c>
      <c r="K227" s="9">
        <v>0</v>
      </c>
      <c r="L227" s="9">
        <v>0</v>
      </c>
      <c r="M227" s="9">
        <f t="shared" si="10"/>
        <v>0</v>
      </c>
      <c r="N227" s="17">
        <v>0</v>
      </c>
      <c r="O227" s="17">
        <v>0</v>
      </c>
      <c r="P227" s="17">
        <f t="shared" si="11"/>
        <v>0</v>
      </c>
      <c r="Q227" t="s">
        <v>49</v>
      </c>
      <c r="R227" t="s">
        <v>49</v>
      </c>
      <c r="S227" s="13" t="s">
        <v>611</v>
      </c>
      <c r="T227" s="13" t="s">
        <v>611</v>
      </c>
      <c r="U227" s="13" t="s">
        <v>350</v>
      </c>
      <c r="V227" s="13" t="s">
        <v>350</v>
      </c>
      <c r="W227" t="s">
        <v>52</v>
      </c>
      <c r="X227" s="15" t="s">
        <v>53</v>
      </c>
    </row>
    <row r="228" spans="1:24" ht="27">
      <c r="A228" s="4" t="s">
        <v>612</v>
      </c>
      <c r="B228" t="s">
        <v>44</v>
      </c>
      <c r="C228" t="s">
        <v>45</v>
      </c>
      <c r="D228" s="13" t="s">
        <v>613</v>
      </c>
      <c r="E228" t="s">
        <v>47</v>
      </c>
      <c r="F228" t="s">
        <v>48</v>
      </c>
      <c r="G228" t="s">
        <v>48</v>
      </c>
      <c r="H228" s="9">
        <v>33500000</v>
      </c>
      <c r="I228" s="9">
        <v>33500000</v>
      </c>
      <c r="J228" s="9">
        <f t="shared" si="9"/>
        <v>0</v>
      </c>
      <c r="K228" s="9">
        <v>0</v>
      </c>
      <c r="L228" s="9">
        <v>0</v>
      </c>
      <c r="M228" s="9">
        <f t="shared" si="10"/>
        <v>0</v>
      </c>
      <c r="N228" s="17">
        <v>0</v>
      </c>
      <c r="O228" s="17">
        <v>0</v>
      </c>
      <c r="P228" s="17">
        <f t="shared" si="11"/>
        <v>0</v>
      </c>
      <c r="Q228" t="s">
        <v>49</v>
      </c>
      <c r="R228" t="s">
        <v>49</v>
      </c>
      <c r="S228" s="13" t="s">
        <v>592</v>
      </c>
      <c r="T228" s="13" t="s">
        <v>592</v>
      </c>
      <c r="U228" s="13" t="s">
        <v>260</v>
      </c>
      <c r="V228" s="13" t="s">
        <v>260</v>
      </c>
      <c r="W228" t="s">
        <v>52</v>
      </c>
      <c r="X228" s="15" t="s">
        <v>53</v>
      </c>
    </row>
    <row r="229" spans="1:24" ht="27">
      <c r="A229" s="4" t="s">
        <v>614</v>
      </c>
      <c r="B229" t="s">
        <v>44</v>
      </c>
      <c r="C229" t="s">
        <v>45</v>
      </c>
      <c r="D229" s="13" t="s">
        <v>615</v>
      </c>
      <c r="E229" t="s">
        <v>47</v>
      </c>
      <c r="F229" t="s">
        <v>48</v>
      </c>
      <c r="G229" t="s">
        <v>48</v>
      </c>
      <c r="H229" s="9">
        <v>12500000</v>
      </c>
      <c r="I229" s="9">
        <v>12500000</v>
      </c>
      <c r="J229" s="9">
        <f t="shared" si="9"/>
        <v>0</v>
      </c>
      <c r="K229" s="9">
        <v>0</v>
      </c>
      <c r="L229" s="9">
        <v>0</v>
      </c>
      <c r="M229" s="9">
        <f t="shared" si="10"/>
        <v>0</v>
      </c>
      <c r="N229" s="17">
        <v>0</v>
      </c>
      <c r="O229" s="17">
        <v>0</v>
      </c>
      <c r="P229" s="17">
        <f t="shared" si="11"/>
        <v>0</v>
      </c>
      <c r="Q229" t="s">
        <v>49</v>
      </c>
      <c r="R229" t="s">
        <v>49</v>
      </c>
      <c r="S229" s="13" t="s">
        <v>616</v>
      </c>
      <c r="T229" s="13" t="s">
        <v>616</v>
      </c>
      <c r="U229" s="13" t="s">
        <v>260</v>
      </c>
      <c r="V229" s="13" t="s">
        <v>260</v>
      </c>
      <c r="W229" t="s">
        <v>52</v>
      </c>
      <c r="X229" s="15" t="s">
        <v>53</v>
      </c>
    </row>
    <row r="230" spans="1:24" ht="40.5">
      <c r="A230" s="4" t="s">
        <v>617</v>
      </c>
      <c r="B230" t="s">
        <v>44</v>
      </c>
      <c r="C230" t="s">
        <v>45</v>
      </c>
      <c r="D230" s="13" t="s">
        <v>618</v>
      </c>
      <c r="E230" t="s">
        <v>47</v>
      </c>
      <c r="F230" t="s">
        <v>48</v>
      </c>
      <c r="G230" t="s">
        <v>48</v>
      </c>
      <c r="H230" s="9">
        <v>74000000</v>
      </c>
      <c r="I230" s="9">
        <v>74000000</v>
      </c>
      <c r="J230" s="9">
        <f t="shared" si="9"/>
        <v>0</v>
      </c>
      <c r="K230" s="9">
        <v>0</v>
      </c>
      <c r="L230" s="9">
        <v>0</v>
      </c>
      <c r="M230" s="9">
        <f t="shared" si="10"/>
        <v>0</v>
      </c>
      <c r="N230" s="17">
        <v>0</v>
      </c>
      <c r="O230" s="17">
        <v>0</v>
      </c>
      <c r="P230" s="17">
        <f t="shared" si="11"/>
        <v>0</v>
      </c>
      <c r="Q230" t="s">
        <v>49</v>
      </c>
      <c r="R230" t="s">
        <v>49</v>
      </c>
      <c r="S230" s="13" t="s">
        <v>619</v>
      </c>
      <c r="T230" s="13" t="s">
        <v>619</v>
      </c>
      <c r="U230" s="13" t="s">
        <v>350</v>
      </c>
      <c r="V230" s="13" t="s">
        <v>350</v>
      </c>
      <c r="W230" t="s">
        <v>52</v>
      </c>
      <c r="X230" s="15" t="s">
        <v>53</v>
      </c>
    </row>
    <row r="231" spans="1:24" ht="27">
      <c r="A231" s="4" t="s">
        <v>620</v>
      </c>
      <c r="B231" t="s">
        <v>44</v>
      </c>
      <c r="C231" t="s">
        <v>45</v>
      </c>
      <c r="D231" s="13" t="s">
        <v>621</v>
      </c>
      <c r="E231" t="s">
        <v>47</v>
      </c>
      <c r="F231" t="s">
        <v>48</v>
      </c>
      <c r="G231" t="s">
        <v>48</v>
      </c>
      <c r="H231" s="9">
        <v>16000000</v>
      </c>
      <c r="I231" s="9">
        <v>16000000</v>
      </c>
      <c r="J231" s="9">
        <f t="shared" si="9"/>
        <v>0</v>
      </c>
      <c r="K231" s="9">
        <v>0</v>
      </c>
      <c r="L231" s="9">
        <v>0</v>
      </c>
      <c r="M231" s="9">
        <f t="shared" si="10"/>
        <v>0</v>
      </c>
      <c r="N231" s="17">
        <v>0</v>
      </c>
      <c r="O231" s="17">
        <v>0</v>
      </c>
      <c r="P231" s="17">
        <f t="shared" si="11"/>
        <v>0</v>
      </c>
      <c r="Q231" t="s">
        <v>49</v>
      </c>
      <c r="R231" t="s">
        <v>49</v>
      </c>
      <c r="S231" s="13" t="s">
        <v>622</v>
      </c>
      <c r="T231" s="13" t="s">
        <v>622</v>
      </c>
      <c r="U231" s="13" t="s">
        <v>260</v>
      </c>
      <c r="V231" s="13" t="s">
        <v>260</v>
      </c>
      <c r="W231" t="s">
        <v>52</v>
      </c>
      <c r="X231" s="15" t="s">
        <v>53</v>
      </c>
    </row>
    <row r="232" spans="1:24" ht="27">
      <c r="A232" s="4" t="s">
        <v>623</v>
      </c>
      <c r="B232" t="s">
        <v>44</v>
      </c>
      <c r="C232" t="s">
        <v>45</v>
      </c>
      <c r="D232" s="13" t="s">
        <v>624</v>
      </c>
      <c r="E232" t="s">
        <v>47</v>
      </c>
      <c r="F232" t="s">
        <v>48</v>
      </c>
      <c r="G232" t="s">
        <v>48</v>
      </c>
      <c r="H232" s="9">
        <v>35000000</v>
      </c>
      <c r="I232" s="9">
        <v>35000000</v>
      </c>
      <c r="J232" s="9">
        <f t="shared" si="9"/>
        <v>0</v>
      </c>
      <c r="K232" s="9">
        <v>0</v>
      </c>
      <c r="L232" s="9">
        <v>0</v>
      </c>
      <c r="M232" s="9">
        <f t="shared" si="10"/>
        <v>0</v>
      </c>
      <c r="N232" s="17">
        <v>0</v>
      </c>
      <c r="O232" s="17">
        <v>0</v>
      </c>
      <c r="P232" s="17">
        <f t="shared" si="11"/>
        <v>0</v>
      </c>
      <c r="Q232" t="s">
        <v>49</v>
      </c>
      <c r="R232" t="s">
        <v>49</v>
      </c>
      <c r="S232" s="13" t="s">
        <v>625</v>
      </c>
      <c r="T232" s="13" t="s">
        <v>625</v>
      </c>
      <c r="U232" s="13" t="s">
        <v>260</v>
      </c>
      <c r="V232" s="13" t="s">
        <v>260</v>
      </c>
      <c r="W232" t="s">
        <v>52</v>
      </c>
      <c r="X232" s="15" t="s">
        <v>53</v>
      </c>
    </row>
    <row r="233" spans="1:24" ht="40.5">
      <c r="A233" s="4" t="s">
        <v>626</v>
      </c>
      <c r="B233" t="s">
        <v>44</v>
      </c>
      <c r="C233" t="s">
        <v>45</v>
      </c>
      <c r="D233" s="13" t="s">
        <v>627</v>
      </c>
      <c r="E233" t="s">
        <v>47</v>
      </c>
      <c r="F233" t="s">
        <v>48</v>
      </c>
      <c r="G233" t="s">
        <v>48</v>
      </c>
      <c r="H233" s="9">
        <v>82500000</v>
      </c>
      <c r="I233" s="9">
        <v>82500000</v>
      </c>
      <c r="J233" s="9">
        <f t="shared" si="9"/>
        <v>0</v>
      </c>
      <c r="K233" s="9">
        <v>0</v>
      </c>
      <c r="L233" s="9">
        <v>0</v>
      </c>
      <c r="M233" s="9">
        <f t="shared" si="10"/>
        <v>0</v>
      </c>
      <c r="N233" s="17">
        <v>0</v>
      </c>
      <c r="O233" s="17">
        <v>0</v>
      </c>
      <c r="P233" s="17">
        <f t="shared" si="11"/>
        <v>0</v>
      </c>
      <c r="Q233" t="s">
        <v>49</v>
      </c>
      <c r="R233" t="s">
        <v>49</v>
      </c>
      <c r="S233" s="13" t="s">
        <v>628</v>
      </c>
      <c r="T233" s="13" t="s">
        <v>628</v>
      </c>
      <c r="U233" s="13" t="s">
        <v>350</v>
      </c>
      <c r="V233" s="13" t="s">
        <v>350</v>
      </c>
      <c r="W233" t="s">
        <v>52</v>
      </c>
      <c r="X233" s="15" t="s">
        <v>53</v>
      </c>
    </row>
    <row r="234" spans="1:24" ht="40.5">
      <c r="A234" s="4" t="s">
        <v>629</v>
      </c>
      <c r="B234" t="s">
        <v>44</v>
      </c>
      <c r="C234" t="s">
        <v>45</v>
      </c>
      <c r="D234" s="13" t="s">
        <v>630</v>
      </c>
      <c r="E234" t="s">
        <v>47</v>
      </c>
      <c r="F234" t="s">
        <v>48</v>
      </c>
      <c r="G234" t="s">
        <v>48</v>
      </c>
      <c r="H234" s="9">
        <v>35600000</v>
      </c>
      <c r="I234" s="9">
        <v>35600000</v>
      </c>
      <c r="J234" s="9">
        <f t="shared" si="9"/>
        <v>0</v>
      </c>
      <c r="K234" s="9">
        <v>0</v>
      </c>
      <c r="L234" s="9">
        <v>0</v>
      </c>
      <c r="M234" s="9">
        <f t="shared" si="10"/>
        <v>0</v>
      </c>
      <c r="N234" s="17">
        <v>0</v>
      </c>
      <c r="O234" s="17">
        <v>0</v>
      </c>
      <c r="P234" s="17">
        <f t="shared" si="11"/>
        <v>0</v>
      </c>
      <c r="Q234" t="s">
        <v>49</v>
      </c>
      <c r="R234" t="s">
        <v>49</v>
      </c>
      <c r="S234" s="13" t="s">
        <v>631</v>
      </c>
      <c r="T234" s="13" t="s">
        <v>631</v>
      </c>
      <c r="U234" s="13" t="s">
        <v>260</v>
      </c>
      <c r="V234" s="13" t="s">
        <v>260</v>
      </c>
      <c r="W234" t="s">
        <v>52</v>
      </c>
      <c r="X234" s="15" t="s">
        <v>53</v>
      </c>
    </row>
    <row r="235" spans="1:24" ht="40.5">
      <c r="A235" s="4" t="s">
        <v>632</v>
      </c>
      <c r="B235" t="s">
        <v>44</v>
      </c>
      <c r="C235" t="s">
        <v>45</v>
      </c>
      <c r="D235" s="13" t="s">
        <v>633</v>
      </c>
      <c r="E235" t="s">
        <v>47</v>
      </c>
      <c r="F235" t="s">
        <v>48</v>
      </c>
      <c r="G235" t="s">
        <v>48</v>
      </c>
      <c r="H235" s="9">
        <v>215730000</v>
      </c>
      <c r="I235" s="9">
        <v>215730000</v>
      </c>
      <c r="J235" s="9">
        <f t="shared" si="9"/>
        <v>0</v>
      </c>
      <c r="K235" s="9">
        <v>0</v>
      </c>
      <c r="L235" s="9">
        <v>0</v>
      </c>
      <c r="M235" s="9">
        <f t="shared" si="10"/>
        <v>0</v>
      </c>
      <c r="N235" s="17">
        <v>0</v>
      </c>
      <c r="O235" s="17">
        <v>0</v>
      </c>
      <c r="P235" s="17">
        <f t="shared" si="11"/>
        <v>0</v>
      </c>
      <c r="Q235" t="s">
        <v>49</v>
      </c>
      <c r="R235" t="s">
        <v>49</v>
      </c>
      <c r="S235" s="13" t="s">
        <v>634</v>
      </c>
      <c r="T235" s="13" t="s">
        <v>634</v>
      </c>
      <c r="U235" s="13" t="s">
        <v>468</v>
      </c>
      <c r="V235" s="13" t="s">
        <v>468</v>
      </c>
      <c r="W235" t="s">
        <v>52</v>
      </c>
      <c r="X235" s="15" t="s">
        <v>53</v>
      </c>
    </row>
    <row r="236" spans="1:24" ht="40.5">
      <c r="A236" s="4" t="s">
        <v>635</v>
      </c>
      <c r="B236" t="s">
        <v>44</v>
      </c>
      <c r="C236" t="s">
        <v>45</v>
      </c>
      <c r="D236" s="13" t="s">
        <v>636</v>
      </c>
      <c r="E236" t="s">
        <v>47</v>
      </c>
      <c r="F236" t="s">
        <v>48</v>
      </c>
      <c r="G236" t="s">
        <v>48</v>
      </c>
      <c r="H236" s="9">
        <v>10000000</v>
      </c>
      <c r="I236" s="9">
        <v>10000000</v>
      </c>
      <c r="J236" s="9">
        <f t="shared" si="9"/>
        <v>0</v>
      </c>
      <c r="K236" s="9">
        <v>0</v>
      </c>
      <c r="L236" s="9">
        <v>0</v>
      </c>
      <c r="M236" s="9">
        <f t="shared" si="10"/>
        <v>0</v>
      </c>
      <c r="N236" s="17">
        <v>0</v>
      </c>
      <c r="O236" s="17">
        <v>0</v>
      </c>
      <c r="P236" s="17">
        <f t="shared" si="11"/>
        <v>0</v>
      </c>
      <c r="Q236" t="s">
        <v>49</v>
      </c>
      <c r="R236" t="s">
        <v>49</v>
      </c>
      <c r="S236" s="13" t="s">
        <v>637</v>
      </c>
      <c r="T236" s="13" t="s">
        <v>637</v>
      </c>
      <c r="U236" s="13" t="s">
        <v>260</v>
      </c>
      <c r="V236" s="13" t="s">
        <v>260</v>
      </c>
      <c r="W236" t="s">
        <v>52</v>
      </c>
      <c r="X236" s="15" t="s">
        <v>53</v>
      </c>
    </row>
    <row r="237" spans="1:24" ht="40.5">
      <c r="A237" s="4" t="s">
        <v>638</v>
      </c>
      <c r="B237" t="s">
        <v>44</v>
      </c>
      <c r="C237" t="s">
        <v>45</v>
      </c>
      <c r="D237" s="13" t="s">
        <v>639</v>
      </c>
      <c r="E237" t="s">
        <v>47</v>
      </c>
      <c r="F237" t="s">
        <v>48</v>
      </c>
      <c r="G237" t="s">
        <v>48</v>
      </c>
      <c r="H237" s="9">
        <v>12410000</v>
      </c>
      <c r="I237" s="9">
        <v>12410000</v>
      </c>
      <c r="J237" s="9">
        <f t="shared" si="9"/>
        <v>0</v>
      </c>
      <c r="K237" s="9">
        <v>0</v>
      </c>
      <c r="L237" s="9">
        <v>0</v>
      </c>
      <c r="M237" s="9">
        <f t="shared" si="10"/>
        <v>0</v>
      </c>
      <c r="N237" s="17">
        <v>0</v>
      </c>
      <c r="O237" s="17">
        <v>0</v>
      </c>
      <c r="P237" s="17">
        <f t="shared" si="11"/>
        <v>0</v>
      </c>
      <c r="Q237" t="s">
        <v>49</v>
      </c>
      <c r="R237" t="s">
        <v>49</v>
      </c>
      <c r="S237" s="13" t="s">
        <v>640</v>
      </c>
      <c r="T237" s="13" t="s">
        <v>640</v>
      </c>
      <c r="U237" s="13" t="s">
        <v>260</v>
      </c>
      <c r="V237" s="13" t="s">
        <v>260</v>
      </c>
      <c r="W237" t="s">
        <v>52</v>
      </c>
      <c r="X237" s="15" t="s">
        <v>53</v>
      </c>
    </row>
    <row r="238" spans="1:24" ht="40.5">
      <c r="A238" s="4" t="s">
        <v>641</v>
      </c>
      <c r="B238" t="s">
        <v>44</v>
      </c>
      <c r="C238" t="s">
        <v>45</v>
      </c>
      <c r="D238" s="13" t="s">
        <v>642</v>
      </c>
      <c r="E238" t="s">
        <v>47</v>
      </c>
      <c r="F238" t="s">
        <v>48</v>
      </c>
      <c r="G238" t="s">
        <v>48</v>
      </c>
      <c r="H238" s="9">
        <v>2700000</v>
      </c>
      <c r="I238" s="9">
        <v>2700000</v>
      </c>
      <c r="J238" s="9">
        <f t="shared" si="9"/>
        <v>0</v>
      </c>
      <c r="K238" s="9">
        <v>0</v>
      </c>
      <c r="L238" s="9">
        <v>0</v>
      </c>
      <c r="M238" s="9">
        <f t="shared" si="10"/>
        <v>0</v>
      </c>
      <c r="N238" s="17">
        <v>0</v>
      </c>
      <c r="O238" s="17">
        <v>0</v>
      </c>
      <c r="P238" s="17">
        <f t="shared" si="11"/>
        <v>0</v>
      </c>
      <c r="Q238" t="s">
        <v>49</v>
      </c>
      <c r="R238" t="s">
        <v>49</v>
      </c>
      <c r="S238" s="13" t="s">
        <v>643</v>
      </c>
      <c r="T238" s="13" t="s">
        <v>643</v>
      </c>
      <c r="U238" s="13" t="s">
        <v>260</v>
      </c>
      <c r="V238" s="13" t="s">
        <v>260</v>
      </c>
      <c r="W238" t="s">
        <v>52</v>
      </c>
      <c r="X238" s="15" t="s">
        <v>53</v>
      </c>
    </row>
    <row r="239" spans="1:24" ht="40.5">
      <c r="A239" s="4" t="s">
        <v>644</v>
      </c>
      <c r="B239" t="s">
        <v>44</v>
      </c>
      <c r="C239" t="s">
        <v>45</v>
      </c>
      <c r="D239" s="13" t="s">
        <v>645</v>
      </c>
      <c r="E239" t="s">
        <v>47</v>
      </c>
      <c r="F239" t="s">
        <v>48</v>
      </c>
      <c r="G239" t="s">
        <v>48</v>
      </c>
      <c r="H239" s="9">
        <v>3450000</v>
      </c>
      <c r="I239" s="9">
        <v>3450000</v>
      </c>
      <c r="J239" s="9">
        <f t="shared" si="9"/>
        <v>0</v>
      </c>
      <c r="K239" s="9">
        <v>0</v>
      </c>
      <c r="L239" s="9">
        <v>0</v>
      </c>
      <c r="M239" s="9">
        <f t="shared" si="10"/>
        <v>0</v>
      </c>
      <c r="N239" s="17">
        <v>0</v>
      </c>
      <c r="O239" s="17">
        <v>0</v>
      </c>
      <c r="P239" s="17">
        <f t="shared" si="11"/>
        <v>0</v>
      </c>
      <c r="Q239" t="s">
        <v>49</v>
      </c>
      <c r="R239" t="s">
        <v>49</v>
      </c>
      <c r="S239" s="13" t="s">
        <v>646</v>
      </c>
      <c r="T239" s="13" t="s">
        <v>646</v>
      </c>
      <c r="U239" s="13" t="s">
        <v>260</v>
      </c>
      <c r="V239" s="13" t="s">
        <v>260</v>
      </c>
      <c r="W239" t="s">
        <v>52</v>
      </c>
      <c r="X239" s="15" t="s">
        <v>53</v>
      </c>
    </row>
    <row r="240" spans="1:24" ht="27">
      <c r="A240" s="4" t="s">
        <v>647</v>
      </c>
      <c r="B240" t="s">
        <v>44</v>
      </c>
      <c r="C240" t="s">
        <v>45</v>
      </c>
      <c r="D240" s="13" t="s">
        <v>648</v>
      </c>
      <c r="E240" t="s">
        <v>56</v>
      </c>
      <c r="F240" t="s">
        <v>329</v>
      </c>
      <c r="G240" t="s">
        <v>329</v>
      </c>
      <c r="H240" s="9">
        <v>22500000</v>
      </c>
      <c r="I240" s="9">
        <v>22500000</v>
      </c>
      <c r="J240" s="9">
        <f t="shared" si="9"/>
        <v>0</v>
      </c>
      <c r="K240" s="9">
        <v>16375275</v>
      </c>
      <c r="L240" s="9">
        <v>16375275</v>
      </c>
      <c r="M240" s="9">
        <f t="shared" si="10"/>
        <v>0</v>
      </c>
      <c r="N240" s="17">
        <v>0.73</v>
      </c>
      <c r="O240" s="17">
        <v>0.73</v>
      </c>
      <c r="P240" s="17">
        <f t="shared" si="11"/>
        <v>0</v>
      </c>
      <c r="Q240" t="s">
        <v>49</v>
      </c>
      <c r="R240" t="s">
        <v>49</v>
      </c>
      <c r="S240" s="13" t="s">
        <v>527</v>
      </c>
      <c r="T240" s="13" t="s">
        <v>527</v>
      </c>
      <c r="U240" s="13" t="s">
        <v>260</v>
      </c>
      <c r="V240" s="13" t="s">
        <v>260</v>
      </c>
      <c r="W240" t="s">
        <v>52</v>
      </c>
      <c r="X240" s="15" t="s">
        <v>53</v>
      </c>
    </row>
    <row r="241" spans="1:24" ht="27">
      <c r="A241" s="4" t="s">
        <v>649</v>
      </c>
      <c r="B241" t="s">
        <v>44</v>
      </c>
      <c r="C241" t="s">
        <v>45</v>
      </c>
      <c r="D241" s="13" t="s">
        <v>650</v>
      </c>
      <c r="E241" t="s">
        <v>56</v>
      </c>
      <c r="F241" t="s">
        <v>57</v>
      </c>
      <c r="G241" t="s">
        <v>57</v>
      </c>
      <c r="H241" s="9">
        <v>249600000</v>
      </c>
      <c r="I241" s="9">
        <v>249600000</v>
      </c>
      <c r="J241" s="9">
        <f t="shared" si="9"/>
        <v>0</v>
      </c>
      <c r="K241" s="9">
        <v>81328190</v>
      </c>
      <c r="L241" s="9">
        <v>81328190</v>
      </c>
      <c r="M241" s="9">
        <f t="shared" si="10"/>
        <v>0</v>
      </c>
      <c r="N241" s="17">
        <v>0.33</v>
      </c>
      <c r="O241" s="17">
        <v>0.33</v>
      </c>
      <c r="P241" s="17">
        <f t="shared" si="11"/>
        <v>0</v>
      </c>
      <c r="Q241" t="s">
        <v>49</v>
      </c>
      <c r="R241" t="s">
        <v>49</v>
      </c>
      <c r="S241" s="13" t="s">
        <v>527</v>
      </c>
      <c r="T241" s="13" t="s">
        <v>527</v>
      </c>
      <c r="U241" s="13" t="s">
        <v>260</v>
      </c>
      <c r="V241" s="13" t="s">
        <v>260</v>
      </c>
      <c r="W241" t="s">
        <v>52</v>
      </c>
      <c r="X241" s="15" t="s">
        <v>53</v>
      </c>
    </row>
    <row r="242" spans="1:24" ht="40.5">
      <c r="A242" s="4" t="s">
        <v>651</v>
      </c>
      <c r="B242" t="s">
        <v>44</v>
      </c>
      <c r="C242" t="s">
        <v>45</v>
      </c>
      <c r="D242" s="13" t="s">
        <v>652</v>
      </c>
      <c r="E242" t="s">
        <v>47</v>
      </c>
      <c r="F242" t="s">
        <v>48</v>
      </c>
      <c r="G242" t="s">
        <v>48</v>
      </c>
      <c r="H242" s="9">
        <v>1934345000</v>
      </c>
      <c r="I242" s="9">
        <v>1934345000</v>
      </c>
      <c r="J242" s="9">
        <f t="shared" si="9"/>
        <v>0</v>
      </c>
      <c r="K242" s="9">
        <v>0</v>
      </c>
      <c r="L242" s="9">
        <v>0</v>
      </c>
      <c r="M242" s="9">
        <f t="shared" si="10"/>
        <v>0</v>
      </c>
      <c r="N242" s="17">
        <v>0</v>
      </c>
      <c r="O242" s="17">
        <v>0</v>
      </c>
      <c r="P242" s="17">
        <f t="shared" si="11"/>
        <v>0</v>
      </c>
      <c r="Q242" t="s">
        <v>466</v>
      </c>
      <c r="R242" t="s">
        <v>466</v>
      </c>
      <c r="S242" s="13" t="s">
        <v>653</v>
      </c>
      <c r="T242" s="13" t="s">
        <v>653</v>
      </c>
      <c r="U242" s="13" t="s">
        <v>468</v>
      </c>
      <c r="V242" s="13" t="s">
        <v>468</v>
      </c>
      <c r="W242" t="s">
        <v>52</v>
      </c>
      <c r="X242" s="15" t="s">
        <v>53</v>
      </c>
    </row>
    <row r="243" spans="1:24" ht="40.5">
      <c r="A243" s="4" t="s">
        <v>654</v>
      </c>
      <c r="B243" t="s">
        <v>44</v>
      </c>
      <c r="C243" t="s">
        <v>45</v>
      </c>
      <c r="D243" s="13" t="s">
        <v>655</v>
      </c>
      <c r="E243" t="s">
        <v>47</v>
      </c>
      <c r="F243" t="s">
        <v>48</v>
      </c>
      <c r="G243" t="s">
        <v>48</v>
      </c>
      <c r="H243" s="9">
        <v>42500000</v>
      </c>
      <c r="I243" s="9">
        <v>42500000</v>
      </c>
      <c r="J243" s="9">
        <f t="shared" si="9"/>
        <v>0</v>
      </c>
      <c r="K243" s="9">
        <v>0</v>
      </c>
      <c r="L243" s="9">
        <v>0</v>
      </c>
      <c r="M243" s="9">
        <f t="shared" si="10"/>
        <v>0</v>
      </c>
      <c r="N243" s="17">
        <v>0</v>
      </c>
      <c r="O243" s="17">
        <v>0</v>
      </c>
      <c r="P243" s="17">
        <f t="shared" si="11"/>
        <v>0</v>
      </c>
      <c r="Q243" t="s">
        <v>49</v>
      </c>
      <c r="R243" t="s">
        <v>49</v>
      </c>
      <c r="S243" s="13" t="s">
        <v>656</v>
      </c>
      <c r="T243" s="13" t="s">
        <v>656</v>
      </c>
      <c r="U243" s="13" t="s">
        <v>350</v>
      </c>
      <c r="V243" s="13" t="s">
        <v>350</v>
      </c>
      <c r="W243" t="s">
        <v>52</v>
      </c>
      <c r="X243" s="15" t="s">
        <v>53</v>
      </c>
    </row>
    <row r="244" spans="1:24" ht="40.5">
      <c r="A244" s="4" t="s">
        <v>657</v>
      </c>
      <c r="B244" t="s">
        <v>44</v>
      </c>
      <c r="C244" t="s">
        <v>45</v>
      </c>
      <c r="D244" s="13" t="s">
        <v>658</v>
      </c>
      <c r="E244" t="s">
        <v>47</v>
      </c>
      <c r="F244" t="s">
        <v>48</v>
      </c>
      <c r="G244" t="s">
        <v>48</v>
      </c>
      <c r="H244" s="9">
        <v>261000</v>
      </c>
      <c r="I244" s="9">
        <v>261000</v>
      </c>
      <c r="J244" s="9">
        <f t="shared" si="9"/>
        <v>0</v>
      </c>
      <c r="K244" s="9">
        <v>0</v>
      </c>
      <c r="L244" s="9">
        <v>0</v>
      </c>
      <c r="M244" s="9">
        <f t="shared" si="10"/>
        <v>0</v>
      </c>
      <c r="N244" s="17">
        <v>0</v>
      </c>
      <c r="O244" s="17">
        <v>0</v>
      </c>
      <c r="P244" s="17">
        <f t="shared" si="11"/>
        <v>0</v>
      </c>
      <c r="Q244" t="s">
        <v>49</v>
      </c>
      <c r="R244" t="s">
        <v>49</v>
      </c>
      <c r="S244" s="13" t="s">
        <v>659</v>
      </c>
      <c r="T244" s="13" t="s">
        <v>659</v>
      </c>
      <c r="U244" s="13" t="s">
        <v>260</v>
      </c>
      <c r="V244" s="13" t="s">
        <v>260</v>
      </c>
      <c r="W244" t="s">
        <v>52</v>
      </c>
      <c r="X244" s="15" t="s">
        <v>53</v>
      </c>
    </row>
    <row r="245" spans="1:24" ht="40.5">
      <c r="A245" s="4" t="s">
        <v>660</v>
      </c>
      <c r="B245" t="s">
        <v>44</v>
      </c>
      <c r="C245" t="s">
        <v>45</v>
      </c>
      <c r="D245" s="13" t="s">
        <v>661</v>
      </c>
      <c r="E245" t="s">
        <v>47</v>
      </c>
      <c r="F245" t="s">
        <v>48</v>
      </c>
      <c r="G245" t="s">
        <v>48</v>
      </c>
      <c r="H245" s="9">
        <v>3100000</v>
      </c>
      <c r="I245" s="9">
        <v>3100000</v>
      </c>
      <c r="J245" s="9">
        <f t="shared" si="9"/>
        <v>0</v>
      </c>
      <c r="K245" s="9">
        <v>0</v>
      </c>
      <c r="L245" s="9">
        <v>0</v>
      </c>
      <c r="M245" s="9">
        <f t="shared" si="10"/>
        <v>0</v>
      </c>
      <c r="N245" s="17">
        <v>0</v>
      </c>
      <c r="O245" s="17">
        <v>0</v>
      </c>
      <c r="P245" s="17">
        <f t="shared" si="11"/>
        <v>0</v>
      </c>
      <c r="Q245" t="s">
        <v>49</v>
      </c>
      <c r="R245" t="s">
        <v>49</v>
      </c>
      <c r="S245" s="13" t="s">
        <v>662</v>
      </c>
      <c r="T245" s="13" t="s">
        <v>662</v>
      </c>
      <c r="U245" s="13" t="s">
        <v>260</v>
      </c>
      <c r="V245" s="13" t="s">
        <v>260</v>
      </c>
      <c r="W245" t="s">
        <v>52</v>
      </c>
      <c r="X245" s="15" t="s">
        <v>53</v>
      </c>
    </row>
    <row r="246" spans="1:24" ht="40.5">
      <c r="A246" s="4" t="s">
        <v>663</v>
      </c>
      <c r="B246" t="s">
        <v>44</v>
      </c>
      <c r="C246" t="s">
        <v>45</v>
      </c>
      <c r="D246" s="13" t="s">
        <v>664</v>
      </c>
      <c r="E246" t="s">
        <v>47</v>
      </c>
      <c r="F246" t="s">
        <v>48</v>
      </c>
      <c r="G246" t="s">
        <v>48</v>
      </c>
      <c r="H246" s="9">
        <v>1500000</v>
      </c>
      <c r="I246" s="9">
        <v>1500000</v>
      </c>
      <c r="J246" s="9">
        <f t="shared" si="9"/>
        <v>0</v>
      </c>
      <c r="K246" s="9">
        <v>0</v>
      </c>
      <c r="L246" s="9">
        <v>0</v>
      </c>
      <c r="M246" s="9">
        <f t="shared" si="10"/>
        <v>0</v>
      </c>
      <c r="N246" s="17">
        <v>0</v>
      </c>
      <c r="O246" s="17">
        <v>0</v>
      </c>
      <c r="P246" s="17">
        <f t="shared" si="11"/>
        <v>0</v>
      </c>
      <c r="Q246" t="s">
        <v>49</v>
      </c>
      <c r="R246" t="s">
        <v>49</v>
      </c>
      <c r="S246" s="13" t="s">
        <v>665</v>
      </c>
      <c r="T246" s="13" t="s">
        <v>665</v>
      </c>
      <c r="U246" s="13" t="s">
        <v>260</v>
      </c>
      <c r="V246" s="13" t="s">
        <v>260</v>
      </c>
      <c r="W246" t="s">
        <v>52</v>
      </c>
      <c r="X246" s="15" t="s">
        <v>53</v>
      </c>
    </row>
    <row r="247" spans="1:24" ht="40.5">
      <c r="A247" s="4" t="s">
        <v>666</v>
      </c>
      <c r="B247" t="s">
        <v>44</v>
      </c>
      <c r="C247" t="s">
        <v>45</v>
      </c>
      <c r="D247" s="13" t="s">
        <v>667</v>
      </c>
      <c r="E247" t="s">
        <v>47</v>
      </c>
      <c r="F247" t="s">
        <v>48</v>
      </c>
      <c r="G247" t="s">
        <v>48</v>
      </c>
      <c r="H247" s="9">
        <v>1500000</v>
      </c>
      <c r="I247" s="9">
        <v>1500000</v>
      </c>
      <c r="J247" s="9">
        <f t="shared" si="9"/>
        <v>0</v>
      </c>
      <c r="K247" s="9">
        <v>0</v>
      </c>
      <c r="L247" s="9">
        <v>0</v>
      </c>
      <c r="M247" s="9">
        <f t="shared" si="10"/>
        <v>0</v>
      </c>
      <c r="N247" s="17">
        <v>0</v>
      </c>
      <c r="O247" s="17">
        <v>0</v>
      </c>
      <c r="P247" s="17">
        <f t="shared" si="11"/>
        <v>0</v>
      </c>
      <c r="Q247" t="s">
        <v>49</v>
      </c>
      <c r="R247" t="s">
        <v>49</v>
      </c>
      <c r="S247" s="13" t="s">
        <v>668</v>
      </c>
      <c r="T247" s="13" t="s">
        <v>668</v>
      </c>
      <c r="U247" s="13" t="s">
        <v>63</v>
      </c>
      <c r="V247" s="13" t="s">
        <v>63</v>
      </c>
      <c r="W247" t="s">
        <v>52</v>
      </c>
      <c r="X247" s="15" t="s">
        <v>53</v>
      </c>
    </row>
    <row r="248" spans="1:24" ht="40.5">
      <c r="A248" s="4" t="s">
        <v>669</v>
      </c>
      <c r="B248" t="s">
        <v>44</v>
      </c>
      <c r="C248" t="s">
        <v>45</v>
      </c>
      <c r="D248" s="13" t="s">
        <v>670</v>
      </c>
      <c r="E248" t="s">
        <v>47</v>
      </c>
      <c r="F248" t="s">
        <v>48</v>
      </c>
      <c r="G248" t="s">
        <v>48</v>
      </c>
      <c r="H248" s="9">
        <v>1950000</v>
      </c>
      <c r="I248" s="9">
        <v>1950000</v>
      </c>
      <c r="J248" s="9">
        <f t="shared" si="9"/>
        <v>0</v>
      </c>
      <c r="K248" s="9">
        <v>0</v>
      </c>
      <c r="L248" s="9">
        <v>0</v>
      </c>
      <c r="M248" s="9">
        <f t="shared" si="10"/>
        <v>0</v>
      </c>
      <c r="N248" s="17">
        <v>0</v>
      </c>
      <c r="O248" s="17">
        <v>0</v>
      </c>
      <c r="P248" s="17">
        <f t="shared" si="11"/>
        <v>0</v>
      </c>
      <c r="Q248" t="s">
        <v>49</v>
      </c>
      <c r="R248" t="s">
        <v>49</v>
      </c>
      <c r="S248" s="13" t="s">
        <v>671</v>
      </c>
      <c r="T248" s="13" t="s">
        <v>671</v>
      </c>
      <c r="U248" s="13" t="s">
        <v>260</v>
      </c>
      <c r="V248" s="13" t="s">
        <v>260</v>
      </c>
      <c r="W248" t="s">
        <v>52</v>
      </c>
      <c r="X248" s="15" t="s">
        <v>53</v>
      </c>
    </row>
    <row r="249" spans="1:24" ht="40.5">
      <c r="A249" s="4" t="s">
        <v>672</v>
      </c>
      <c r="B249" t="s">
        <v>44</v>
      </c>
      <c r="C249" t="s">
        <v>45</v>
      </c>
      <c r="D249" s="13" t="s">
        <v>673</v>
      </c>
      <c r="E249" t="s">
        <v>47</v>
      </c>
      <c r="F249" t="s">
        <v>48</v>
      </c>
      <c r="G249" t="s">
        <v>48</v>
      </c>
      <c r="H249" s="9">
        <v>450000</v>
      </c>
      <c r="I249" s="9">
        <v>450000</v>
      </c>
      <c r="J249" s="9">
        <f t="shared" si="9"/>
        <v>0</v>
      </c>
      <c r="K249" s="9">
        <v>0</v>
      </c>
      <c r="L249" s="9">
        <v>0</v>
      </c>
      <c r="M249" s="9">
        <f t="shared" si="10"/>
        <v>0</v>
      </c>
      <c r="N249" s="17">
        <v>0</v>
      </c>
      <c r="O249" s="17">
        <v>0</v>
      </c>
      <c r="P249" s="17">
        <f t="shared" si="11"/>
        <v>0</v>
      </c>
      <c r="Q249" t="s">
        <v>49</v>
      </c>
      <c r="R249" t="s">
        <v>49</v>
      </c>
      <c r="S249" s="13" t="s">
        <v>674</v>
      </c>
      <c r="T249" s="13" t="s">
        <v>674</v>
      </c>
      <c r="U249" s="13" t="s">
        <v>260</v>
      </c>
      <c r="V249" s="13" t="s">
        <v>260</v>
      </c>
      <c r="W249" t="s">
        <v>52</v>
      </c>
      <c r="X249" s="15" t="s">
        <v>53</v>
      </c>
    </row>
    <row r="250" spans="1:24" ht="40.5">
      <c r="A250" s="4" t="s">
        <v>675</v>
      </c>
      <c r="B250" t="s">
        <v>44</v>
      </c>
      <c r="C250" t="s">
        <v>45</v>
      </c>
      <c r="D250" s="13" t="s">
        <v>75</v>
      </c>
      <c r="E250" t="s">
        <v>47</v>
      </c>
      <c r="F250" t="s">
        <v>48</v>
      </c>
      <c r="G250" t="s">
        <v>48</v>
      </c>
      <c r="H250" s="9">
        <v>3750000</v>
      </c>
      <c r="I250" s="9">
        <v>3750000</v>
      </c>
      <c r="J250" s="9">
        <f t="shared" si="9"/>
        <v>0</v>
      </c>
      <c r="K250" s="9">
        <v>0</v>
      </c>
      <c r="L250" s="9">
        <v>0</v>
      </c>
      <c r="M250" s="9">
        <f t="shared" si="10"/>
        <v>0</v>
      </c>
      <c r="N250" s="17">
        <v>0</v>
      </c>
      <c r="O250" s="17">
        <v>0</v>
      </c>
      <c r="P250" s="17">
        <f t="shared" si="11"/>
        <v>0</v>
      </c>
      <c r="Q250" t="s">
        <v>49</v>
      </c>
      <c r="R250" t="s">
        <v>49</v>
      </c>
      <c r="S250" s="13" t="s">
        <v>676</v>
      </c>
      <c r="T250" s="13" t="s">
        <v>676</v>
      </c>
      <c r="U250" s="13" t="s">
        <v>260</v>
      </c>
      <c r="V250" s="13" t="s">
        <v>260</v>
      </c>
      <c r="W250" t="s">
        <v>52</v>
      </c>
      <c r="X250" s="15" t="s">
        <v>53</v>
      </c>
    </row>
    <row r="251" spans="1:24" ht="40.5">
      <c r="A251" s="4" t="s">
        <v>677</v>
      </c>
      <c r="B251" t="s">
        <v>44</v>
      </c>
      <c r="C251" t="s">
        <v>45</v>
      </c>
      <c r="D251" s="13" t="s">
        <v>67</v>
      </c>
      <c r="E251" t="s">
        <v>47</v>
      </c>
      <c r="F251" t="s">
        <v>48</v>
      </c>
      <c r="G251" t="s">
        <v>48</v>
      </c>
      <c r="H251" s="9">
        <v>3250000</v>
      </c>
      <c r="I251" s="9">
        <v>3250000</v>
      </c>
      <c r="J251" s="9">
        <f t="shared" si="9"/>
        <v>0</v>
      </c>
      <c r="K251" s="9">
        <v>0</v>
      </c>
      <c r="L251" s="9">
        <v>0</v>
      </c>
      <c r="M251" s="9">
        <f t="shared" si="10"/>
        <v>0</v>
      </c>
      <c r="N251" s="17">
        <v>0</v>
      </c>
      <c r="O251" s="17">
        <v>0</v>
      </c>
      <c r="P251" s="17">
        <f t="shared" si="11"/>
        <v>0</v>
      </c>
      <c r="Q251" t="s">
        <v>49</v>
      </c>
      <c r="R251" t="s">
        <v>49</v>
      </c>
      <c r="S251" s="13" t="s">
        <v>678</v>
      </c>
      <c r="T251" s="13" t="s">
        <v>678</v>
      </c>
      <c r="U251" s="13" t="s">
        <v>260</v>
      </c>
      <c r="V251" s="13" t="s">
        <v>260</v>
      </c>
      <c r="W251" t="s">
        <v>52</v>
      </c>
      <c r="X251" s="15" t="s">
        <v>53</v>
      </c>
    </row>
    <row r="252" spans="1:24" ht="40.5">
      <c r="A252" s="4" t="s">
        <v>679</v>
      </c>
      <c r="B252" t="s">
        <v>44</v>
      </c>
      <c r="C252" t="s">
        <v>45</v>
      </c>
      <c r="D252" s="13" t="s">
        <v>680</v>
      </c>
      <c r="E252" t="s">
        <v>47</v>
      </c>
      <c r="F252" t="s">
        <v>48</v>
      </c>
      <c r="G252" t="s">
        <v>48</v>
      </c>
      <c r="H252" s="9">
        <v>1250000</v>
      </c>
      <c r="I252" s="9">
        <v>1250000</v>
      </c>
      <c r="J252" s="9">
        <f t="shared" si="9"/>
        <v>0</v>
      </c>
      <c r="K252" s="9">
        <v>0</v>
      </c>
      <c r="L252" s="9">
        <v>0</v>
      </c>
      <c r="M252" s="9">
        <f t="shared" si="10"/>
        <v>0</v>
      </c>
      <c r="N252" s="17">
        <v>0</v>
      </c>
      <c r="O252" s="17">
        <v>0</v>
      </c>
      <c r="P252" s="17">
        <f t="shared" si="11"/>
        <v>0</v>
      </c>
      <c r="Q252" t="s">
        <v>49</v>
      </c>
      <c r="R252" t="s">
        <v>49</v>
      </c>
      <c r="S252" s="13" t="s">
        <v>681</v>
      </c>
      <c r="T252" s="13" t="s">
        <v>681</v>
      </c>
      <c r="U252" s="13" t="s">
        <v>260</v>
      </c>
      <c r="V252" s="13" t="s">
        <v>260</v>
      </c>
      <c r="W252" t="s">
        <v>52</v>
      </c>
      <c r="X252" s="15" t="s">
        <v>53</v>
      </c>
    </row>
    <row r="253" spans="1:24" ht="40.5">
      <c r="A253" s="4" t="s">
        <v>682</v>
      </c>
      <c r="B253" t="s">
        <v>44</v>
      </c>
      <c r="C253" t="s">
        <v>45</v>
      </c>
      <c r="D253" s="13" t="s">
        <v>683</v>
      </c>
      <c r="E253" t="s">
        <v>47</v>
      </c>
      <c r="F253" t="s">
        <v>48</v>
      </c>
      <c r="G253" t="s">
        <v>48</v>
      </c>
      <c r="H253" s="9">
        <v>13440000</v>
      </c>
      <c r="I253" s="9">
        <v>13440000</v>
      </c>
      <c r="J253" s="9">
        <f t="shared" si="9"/>
        <v>0</v>
      </c>
      <c r="K253" s="9">
        <v>0</v>
      </c>
      <c r="L253" s="9">
        <v>0</v>
      </c>
      <c r="M253" s="9">
        <f t="shared" si="10"/>
        <v>0</v>
      </c>
      <c r="N253" s="17">
        <v>0</v>
      </c>
      <c r="O253" s="17">
        <v>0</v>
      </c>
      <c r="P253" s="17">
        <f t="shared" si="11"/>
        <v>0</v>
      </c>
      <c r="Q253" t="s">
        <v>49</v>
      </c>
      <c r="R253" t="s">
        <v>49</v>
      </c>
      <c r="S253" s="13" t="s">
        <v>684</v>
      </c>
      <c r="T253" s="13" t="s">
        <v>684</v>
      </c>
      <c r="U253" s="13" t="s">
        <v>350</v>
      </c>
      <c r="V253" s="13" t="s">
        <v>350</v>
      </c>
      <c r="W253" t="s">
        <v>52</v>
      </c>
      <c r="X253" s="15" t="s">
        <v>53</v>
      </c>
    </row>
    <row r="254" spans="1:24" ht="40.5">
      <c r="A254" s="4" t="s">
        <v>685</v>
      </c>
      <c r="B254" t="s">
        <v>44</v>
      </c>
      <c r="C254" t="s">
        <v>45</v>
      </c>
      <c r="D254" s="13" t="s">
        <v>686</v>
      </c>
      <c r="E254" t="s">
        <v>47</v>
      </c>
      <c r="F254" t="s">
        <v>48</v>
      </c>
      <c r="G254" t="s">
        <v>48</v>
      </c>
      <c r="H254" s="9">
        <v>11520000</v>
      </c>
      <c r="I254" s="9">
        <v>11520000</v>
      </c>
      <c r="J254" s="9">
        <f t="shared" si="9"/>
        <v>0</v>
      </c>
      <c r="K254" s="9">
        <v>0</v>
      </c>
      <c r="L254" s="9">
        <v>0</v>
      </c>
      <c r="M254" s="9">
        <f t="shared" si="10"/>
        <v>0</v>
      </c>
      <c r="N254" s="17">
        <v>0</v>
      </c>
      <c r="O254" s="17">
        <v>0</v>
      </c>
      <c r="P254" s="17">
        <f t="shared" si="11"/>
        <v>0</v>
      </c>
      <c r="Q254" t="s">
        <v>49</v>
      </c>
      <c r="R254" t="s">
        <v>49</v>
      </c>
      <c r="S254" s="13" t="s">
        <v>687</v>
      </c>
      <c r="T254" s="13" t="s">
        <v>687</v>
      </c>
      <c r="U254" s="13" t="s">
        <v>350</v>
      </c>
      <c r="V254" s="13" t="s">
        <v>350</v>
      </c>
      <c r="W254" t="s">
        <v>52</v>
      </c>
      <c r="X254" s="15" t="s">
        <v>53</v>
      </c>
    </row>
    <row r="255" spans="1:24" ht="40.5">
      <c r="A255" s="4" t="s">
        <v>688</v>
      </c>
      <c r="B255" t="s">
        <v>44</v>
      </c>
      <c r="C255" t="s">
        <v>45</v>
      </c>
      <c r="D255" s="13" t="s">
        <v>689</v>
      </c>
      <c r="E255" t="s">
        <v>47</v>
      </c>
      <c r="F255" t="s">
        <v>48</v>
      </c>
      <c r="G255" t="s">
        <v>48</v>
      </c>
      <c r="H255" s="9">
        <v>8000000</v>
      </c>
      <c r="I255" s="9">
        <v>8000000</v>
      </c>
      <c r="J255" s="9">
        <f t="shared" si="9"/>
        <v>0</v>
      </c>
      <c r="K255" s="9">
        <v>0</v>
      </c>
      <c r="L255" s="9">
        <v>0</v>
      </c>
      <c r="M255" s="9">
        <f t="shared" si="10"/>
        <v>0</v>
      </c>
      <c r="N255" s="17">
        <v>0</v>
      </c>
      <c r="O255" s="17">
        <v>0</v>
      </c>
      <c r="P255" s="17">
        <f t="shared" si="11"/>
        <v>0</v>
      </c>
      <c r="Q255" t="s">
        <v>49</v>
      </c>
      <c r="R255" t="s">
        <v>49</v>
      </c>
      <c r="S255" s="13" t="s">
        <v>690</v>
      </c>
      <c r="T255" s="13" t="s">
        <v>690</v>
      </c>
      <c r="U255" s="13" t="s">
        <v>350</v>
      </c>
      <c r="V255" s="13" t="s">
        <v>350</v>
      </c>
      <c r="W255" t="s">
        <v>52</v>
      </c>
      <c r="X255" s="15" t="s">
        <v>53</v>
      </c>
    </row>
    <row r="256" spans="1:24" ht="27">
      <c r="A256" s="4" t="s">
        <v>691</v>
      </c>
      <c r="B256" t="s">
        <v>44</v>
      </c>
      <c r="C256" t="s">
        <v>45</v>
      </c>
      <c r="D256" s="13" t="s">
        <v>208</v>
      </c>
      <c r="E256" t="s">
        <v>56</v>
      </c>
      <c r="F256" t="s">
        <v>57</v>
      </c>
      <c r="G256" t="s">
        <v>57</v>
      </c>
      <c r="H256" s="9">
        <v>12000000</v>
      </c>
      <c r="I256" s="9">
        <v>12000000</v>
      </c>
      <c r="J256" s="9">
        <f t="shared" si="9"/>
        <v>0</v>
      </c>
      <c r="K256" s="9">
        <v>11960028</v>
      </c>
      <c r="L256" s="9">
        <v>11960028</v>
      </c>
      <c r="M256" s="9">
        <f t="shared" si="10"/>
        <v>0</v>
      </c>
      <c r="N256" s="17">
        <v>1</v>
      </c>
      <c r="O256" s="17">
        <v>1</v>
      </c>
      <c r="P256" s="17">
        <f t="shared" si="11"/>
        <v>0</v>
      </c>
      <c r="Q256" t="s">
        <v>49</v>
      </c>
      <c r="R256" t="s">
        <v>49</v>
      </c>
      <c r="S256" s="13" t="s">
        <v>692</v>
      </c>
      <c r="T256" s="13" t="s">
        <v>692</v>
      </c>
      <c r="U256" s="13" t="s">
        <v>260</v>
      </c>
      <c r="V256" s="13" t="s">
        <v>260</v>
      </c>
      <c r="W256" t="s">
        <v>52</v>
      </c>
      <c r="X256" s="15" t="s">
        <v>53</v>
      </c>
    </row>
    <row r="257" spans="1:24" ht="40.5">
      <c r="A257" s="4" t="s">
        <v>693</v>
      </c>
      <c r="B257" t="s">
        <v>44</v>
      </c>
      <c r="C257" t="s">
        <v>45</v>
      </c>
      <c r="D257" s="13" t="s">
        <v>694</v>
      </c>
      <c r="E257" t="s">
        <v>47</v>
      </c>
      <c r="F257" t="s">
        <v>48</v>
      </c>
      <c r="G257" t="s">
        <v>48</v>
      </c>
      <c r="H257" s="9">
        <v>18500000</v>
      </c>
      <c r="I257" s="9">
        <v>18500000</v>
      </c>
      <c r="J257" s="9">
        <f t="shared" si="9"/>
        <v>0</v>
      </c>
      <c r="K257" s="9">
        <v>0</v>
      </c>
      <c r="L257" s="9">
        <v>0</v>
      </c>
      <c r="M257" s="9">
        <f t="shared" si="10"/>
        <v>0</v>
      </c>
      <c r="N257" s="17">
        <v>0</v>
      </c>
      <c r="O257" s="17">
        <v>0</v>
      </c>
      <c r="P257" s="17">
        <f t="shared" si="11"/>
        <v>0</v>
      </c>
      <c r="Q257" t="s">
        <v>49</v>
      </c>
      <c r="R257" t="s">
        <v>49</v>
      </c>
      <c r="S257" s="13" t="s">
        <v>695</v>
      </c>
      <c r="T257" s="13" t="s">
        <v>695</v>
      </c>
      <c r="U257" s="13" t="s">
        <v>350</v>
      </c>
      <c r="V257" s="13" t="s">
        <v>350</v>
      </c>
      <c r="W257" t="s">
        <v>52</v>
      </c>
      <c r="X257" s="15" t="s">
        <v>53</v>
      </c>
    </row>
    <row r="258" spans="1:24" ht="40.5">
      <c r="A258" s="4" t="s">
        <v>696</v>
      </c>
      <c r="B258" t="s">
        <v>44</v>
      </c>
      <c r="C258" t="s">
        <v>45</v>
      </c>
      <c r="D258" s="13" t="s">
        <v>697</v>
      </c>
      <c r="E258" t="s">
        <v>47</v>
      </c>
      <c r="F258" t="s">
        <v>48</v>
      </c>
      <c r="G258" t="s">
        <v>48</v>
      </c>
      <c r="H258" s="9">
        <v>39000000</v>
      </c>
      <c r="I258" s="9">
        <v>39000000</v>
      </c>
      <c r="J258" s="9">
        <f t="shared" si="9"/>
        <v>0</v>
      </c>
      <c r="K258" s="9">
        <v>0</v>
      </c>
      <c r="L258" s="9">
        <v>0</v>
      </c>
      <c r="M258" s="9">
        <f t="shared" si="10"/>
        <v>0</v>
      </c>
      <c r="N258" s="17">
        <v>0</v>
      </c>
      <c r="O258" s="17">
        <v>0</v>
      </c>
      <c r="P258" s="17">
        <f t="shared" si="11"/>
        <v>0</v>
      </c>
      <c r="Q258" t="s">
        <v>49</v>
      </c>
      <c r="R258" t="s">
        <v>49</v>
      </c>
      <c r="S258" s="13" t="s">
        <v>698</v>
      </c>
      <c r="T258" s="13" t="s">
        <v>698</v>
      </c>
      <c r="U258" s="13" t="s">
        <v>350</v>
      </c>
      <c r="V258" s="13" t="s">
        <v>350</v>
      </c>
      <c r="W258" t="s">
        <v>52</v>
      </c>
      <c r="X258" s="15" t="s">
        <v>53</v>
      </c>
    </row>
    <row r="259" spans="1:24" ht="40.5">
      <c r="A259" s="4" t="s">
        <v>699</v>
      </c>
      <c r="B259" t="s">
        <v>44</v>
      </c>
      <c r="C259" t="s">
        <v>45</v>
      </c>
      <c r="D259" s="13" t="s">
        <v>624</v>
      </c>
      <c r="E259" t="s">
        <v>47</v>
      </c>
      <c r="F259" t="s">
        <v>48</v>
      </c>
      <c r="G259" t="s">
        <v>48</v>
      </c>
      <c r="H259" s="9">
        <v>35000000</v>
      </c>
      <c r="I259" s="9">
        <v>35000000</v>
      </c>
      <c r="J259" s="9">
        <f t="shared" si="9"/>
        <v>0</v>
      </c>
      <c r="K259" s="9">
        <v>0</v>
      </c>
      <c r="L259" s="9">
        <v>0</v>
      </c>
      <c r="M259" s="9">
        <f t="shared" si="10"/>
        <v>0</v>
      </c>
      <c r="N259" s="17">
        <v>0</v>
      </c>
      <c r="O259" s="17">
        <v>0</v>
      </c>
      <c r="P259" s="17">
        <f t="shared" si="11"/>
        <v>0</v>
      </c>
      <c r="Q259" t="s">
        <v>49</v>
      </c>
      <c r="R259" t="s">
        <v>49</v>
      </c>
      <c r="S259" s="13" t="s">
        <v>700</v>
      </c>
      <c r="T259" s="13" t="s">
        <v>700</v>
      </c>
      <c r="U259" s="13" t="s">
        <v>350</v>
      </c>
      <c r="V259" s="13" t="s">
        <v>350</v>
      </c>
      <c r="W259" t="s">
        <v>52</v>
      </c>
      <c r="X259" s="15" t="s">
        <v>53</v>
      </c>
    </row>
    <row r="260" spans="1:24" ht="27">
      <c r="A260" s="4" t="s">
        <v>701</v>
      </c>
      <c r="B260" t="s">
        <v>44</v>
      </c>
      <c r="C260" t="s">
        <v>45</v>
      </c>
      <c r="D260" s="13" t="s">
        <v>208</v>
      </c>
      <c r="E260" t="s">
        <v>56</v>
      </c>
      <c r="F260" t="s">
        <v>48</v>
      </c>
      <c r="G260" t="s">
        <v>48</v>
      </c>
      <c r="H260" s="9">
        <v>16800000</v>
      </c>
      <c r="I260" s="9">
        <v>16800000</v>
      </c>
      <c r="J260" s="9">
        <f t="shared" ref="J260:J323" si="12">IF(OR(H260="",I260=""),"",I260-H260)</f>
        <v>0</v>
      </c>
      <c r="K260" s="9">
        <v>0</v>
      </c>
      <c r="L260" s="9">
        <v>0</v>
      </c>
      <c r="M260" s="9">
        <f t="shared" ref="M260:M323" si="13">IF(OR(K260="",L260=""),"",L260-K260)</f>
        <v>0</v>
      </c>
      <c r="N260" s="17">
        <v>0</v>
      </c>
      <c r="O260" s="17">
        <v>0</v>
      </c>
      <c r="P260" s="17">
        <f t="shared" ref="P260:P323" si="14">IF(OR(N260="",O260=""),"",O260-N260)</f>
        <v>0</v>
      </c>
      <c r="Q260" t="s">
        <v>49</v>
      </c>
      <c r="R260" t="s">
        <v>49</v>
      </c>
      <c r="S260" s="13" t="s">
        <v>692</v>
      </c>
      <c r="T260" s="13" t="s">
        <v>692</v>
      </c>
      <c r="U260" s="13" t="s">
        <v>260</v>
      </c>
      <c r="V260" s="13" t="s">
        <v>260</v>
      </c>
      <c r="W260" t="s">
        <v>52</v>
      </c>
      <c r="X260" s="15" t="s">
        <v>53</v>
      </c>
    </row>
    <row r="261" spans="1:24" ht="40.5">
      <c r="A261" s="4" t="s">
        <v>702</v>
      </c>
      <c r="B261" t="s">
        <v>44</v>
      </c>
      <c r="C261" t="s">
        <v>45</v>
      </c>
      <c r="D261" s="13" t="s">
        <v>208</v>
      </c>
      <c r="E261" t="s">
        <v>47</v>
      </c>
      <c r="F261" t="s">
        <v>48</v>
      </c>
      <c r="G261" t="s">
        <v>48</v>
      </c>
      <c r="H261" s="9">
        <v>204000000</v>
      </c>
      <c r="I261" s="9">
        <v>204000000</v>
      </c>
      <c r="J261" s="9">
        <f t="shared" si="12"/>
        <v>0</v>
      </c>
      <c r="K261" s="9">
        <v>0</v>
      </c>
      <c r="L261" s="9">
        <v>0</v>
      </c>
      <c r="M261" s="9">
        <f t="shared" si="13"/>
        <v>0</v>
      </c>
      <c r="N261" s="17">
        <v>0</v>
      </c>
      <c r="O261" s="17">
        <v>0</v>
      </c>
      <c r="P261" s="17">
        <f t="shared" si="14"/>
        <v>0</v>
      </c>
      <c r="Q261" t="s">
        <v>466</v>
      </c>
      <c r="R261" t="s">
        <v>466</v>
      </c>
      <c r="S261" s="13" t="s">
        <v>703</v>
      </c>
      <c r="T261" s="13" t="s">
        <v>703</v>
      </c>
      <c r="U261" s="13" t="s">
        <v>468</v>
      </c>
      <c r="V261" s="13" t="s">
        <v>468</v>
      </c>
      <c r="W261" t="s">
        <v>52</v>
      </c>
      <c r="X261" s="15" t="s">
        <v>53</v>
      </c>
    </row>
    <row r="262" spans="1:24" ht="40.5">
      <c r="A262" s="4" t="s">
        <v>704</v>
      </c>
      <c r="B262" t="s">
        <v>44</v>
      </c>
      <c r="C262" t="s">
        <v>45</v>
      </c>
      <c r="D262" s="13" t="s">
        <v>208</v>
      </c>
      <c r="E262" t="s">
        <v>47</v>
      </c>
      <c r="F262" t="s">
        <v>48</v>
      </c>
      <c r="G262" t="s">
        <v>48</v>
      </c>
      <c r="H262" s="9">
        <v>52800000</v>
      </c>
      <c r="I262" s="9">
        <v>52800000</v>
      </c>
      <c r="J262" s="9">
        <f t="shared" si="12"/>
        <v>0</v>
      </c>
      <c r="K262" s="9">
        <v>0</v>
      </c>
      <c r="L262" s="9">
        <v>0</v>
      </c>
      <c r="M262" s="9">
        <f t="shared" si="13"/>
        <v>0</v>
      </c>
      <c r="N262" s="17">
        <v>0</v>
      </c>
      <c r="O262" s="17">
        <v>0</v>
      </c>
      <c r="P262" s="17">
        <f t="shared" si="14"/>
        <v>0</v>
      </c>
      <c r="Q262" t="s">
        <v>49</v>
      </c>
      <c r="R262" t="s">
        <v>49</v>
      </c>
      <c r="S262" s="13" t="s">
        <v>705</v>
      </c>
      <c r="T262" s="13" t="s">
        <v>705</v>
      </c>
      <c r="U262" s="13" t="s">
        <v>350</v>
      </c>
      <c r="V262" s="13" t="s">
        <v>350</v>
      </c>
      <c r="W262" t="s">
        <v>52</v>
      </c>
      <c r="X262" s="15" t="s">
        <v>53</v>
      </c>
    </row>
    <row r="263" spans="1:24" ht="40.5">
      <c r="A263" s="4" t="s">
        <v>706</v>
      </c>
      <c r="B263" t="s">
        <v>44</v>
      </c>
      <c r="C263" t="s">
        <v>45</v>
      </c>
      <c r="D263" s="13" t="s">
        <v>92</v>
      </c>
      <c r="E263" t="s">
        <v>47</v>
      </c>
      <c r="G263" t="s">
        <v>48</v>
      </c>
      <c r="H263" s="9"/>
      <c r="I263" s="9">
        <v>32320000</v>
      </c>
      <c r="J263" s="9" t="str">
        <f t="shared" si="12"/>
        <v/>
      </c>
      <c r="K263" s="9"/>
      <c r="L263" s="9">
        <v>0</v>
      </c>
      <c r="M263" s="9" t="str">
        <f t="shared" si="13"/>
        <v/>
      </c>
      <c r="N263" s="17"/>
      <c r="O263" s="17">
        <v>0</v>
      </c>
      <c r="P263" s="17" t="str">
        <f t="shared" si="14"/>
        <v/>
      </c>
      <c r="R263" t="s">
        <v>49</v>
      </c>
      <c r="S263" s="13"/>
      <c r="T263" s="13" t="s">
        <v>707</v>
      </c>
      <c r="U263" s="13"/>
      <c r="V263" s="13" t="s">
        <v>260</v>
      </c>
      <c r="W263" t="s">
        <v>708</v>
      </c>
      <c r="X263" s="15" t="s">
        <v>709</v>
      </c>
    </row>
    <row r="264" spans="1:24" ht="40.5">
      <c r="A264" s="4" t="s">
        <v>710</v>
      </c>
      <c r="B264" t="s">
        <v>44</v>
      </c>
      <c r="C264" t="s">
        <v>711</v>
      </c>
      <c r="D264" s="13" t="s">
        <v>712</v>
      </c>
      <c r="E264" t="s">
        <v>47</v>
      </c>
      <c r="F264" t="s">
        <v>84</v>
      </c>
      <c r="H264" s="9">
        <v>0</v>
      </c>
      <c r="I264" s="9"/>
      <c r="J264" s="9" t="str">
        <f t="shared" si="12"/>
        <v/>
      </c>
      <c r="K264" s="9">
        <v>159192761.99000001</v>
      </c>
      <c r="L264" s="9"/>
      <c r="M264" s="9" t="str">
        <f t="shared" si="13"/>
        <v/>
      </c>
      <c r="N264" s="17">
        <v>0</v>
      </c>
      <c r="O264" s="17"/>
      <c r="P264" s="17" t="str">
        <f t="shared" si="14"/>
        <v/>
      </c>
      <c r="Q264" t="s">
        <v>713</v>
      </c>
      <c r="S264" s="13" t="s">
        <v>260</v>
      </c>
      <c r="T264" s="13"/>
      <c r="U264" s="13" t="s">
        <v>260</v>
      </c>
      <c r="V264" s="13"/>
      <c r="W264" t="s">
        <v>94</v>
      </c>
      <c r="X264" s="15" t="s">
        <v>95</v>
      </c>
    </row>
    <row r="265" spans="1:24" ht="40.5">
      <c r="A265" s="6" t="s">
        <v>714</v>
      </c>
      <c r="B265" s="7" t="s">
        <v>44</v>
      </c>
      <c r="C265" s="7" t="s">
        <v>45</v>
      </c>
      <c r="D265" s="14" t="s">
        <v>97</v>
      </c>
      <c r="E265" s="7" t="s">
        <v>47</v>
      </c>
      <c r="F265" s="7" t="s">
        <v>84</v>
      </c>
      <c r="G265" s="7"/>
      <c r="H265" s="10">
        <v>26000000</v>
      </c>
      <c r="I265" s="10"/>
      <c r="J265" s="10" t="str">
        <f t="shared" si="12"/>
        <v/>
      </c>
      <c r="K265" s="10">
        <v>50741319</v>
      </c>
      <c r="L265" s="10"/>
      <c r="M265" s="10" t="str">
        <f t="shared" si="13"/>
        <v/>
      </c>
      <c r="N265" s="18">
        <v>1.95</v>
      </c>
      <c r="O265" s="18"/>
      <c r="P265" s="18" t="str">
        <f t="shared" si="14"/>
        <v/>
      </c>
      <c r="Q265" s="7" t="s">
        <v>49</v>
      </c>
      <c r="R265" s="7"/>
      <c r="S265" s="14" t="s">
        <v>98</v>
      </c>
      <c r="T265" s="14"/>
      <c r="U265" s="14" t="s">
        <v>63</v>
      </c>
      <c r="V265" s="14"/>
      <c r="W265" s="7" t="s">
        <v>94</v>
      </c>
      <c r="X265" s="16" t="s">
        <v>95</v>
      </c>
    </row>
  </sheetData>
  <mergeCells count="1">
    <mergeCell ref="A1:X1"/>
  </mergeCells>
  <conditionalFormatting sqref="J4:J265">
    <cfRule type="cellIs" dxfId="19" priority="5" operator="greaterThan">
      <formula>0</formula>
    </cfRule>
    <cfRule type="cellIs" dxfId="18" priority="6" operator="lessThan">
      <formula>0</formula>
    </cfRule>
  </conditionalFormatting>
  <conditionalFormatting sqref="M4:M265">
    <cfRule type="cellIs" dxfId="17" priority="7" operator="greaterThan">
      <formula>0</formula>
    </cfRule>
    <cfRule type="cellIs" dxfId="16" priority="8" operator="lessThan">
      <formula>0</formula>
    </cfRule>
  </conditionalFormatting>
  <conditionalFormatting sqref="P4:P265">
    <cfRule type="cellIs" dxfId="15" priority="9" operator="greaterThan">
      <formula>0</formula>
    </cfRule>
    <cfRule type="cellIs" dxfId="14" priority="10" operator="lessThan">
      <formula>0</formula>
    </cfRule>
  </conditionalFormatting>
  <conditionalFormatting sqref="W4:W265">
    <cfRule type="expression" dxfId="13" priority="1">
      <formula>W4="BERUBAH"</formula>
    </cfRule>
    <cfRule type="expression" dxfId="12" priority="2">
      <formula>W4="TETAP"</formula>
    </cfRule>
    <cfRule type="expression" dxfId="11" priority="3">
      <formula>W4="PAKET BARU"</formula>
    </cfRule>
    <cfRule type="expression" dxfId="10" priority="4">
      <formula>W4="TIDAK MUNCUL"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X29"/>
  <sheetViews>
    <sheetView tabSelected="1" topLeftCell="D1" workbookViewId="0">
      <selection activeCell="F4" sqref="F4"/>
    </sheetView>
  </sheetViews>
  <sheetFormatPr defaultRowHeight="13.5"/>
  <cols>
    <col min="1" max="1" width="18" customWidth="1"/>
    <col min="2" max="2" width="34" customWidth="1"/>
    <col min="3" max="3" width="20" customWidth="1"/>
    <col min="4" max="4" width="44" customWidth="1"/>
    <col min="5" max="5" width="18" customWidth="1"/>
    <col min="6" max="7" width="22" customWidth="1"/>
    <col min="8" max="9" width="18" customWidth="1"/>
    <col min="10" max="10" width="16" customWidth="1"/>
    <col min="11" max="12" width="20" customWidth="1"/>
    <col min="13" max="13" width="18" customWidth="1"/>
    <col min="14" max="16" width="16" customWidth="1"/>
    <col min="17" max="18" width="18" customWidth="1"/>
    <col min="19" max="22" width="42" customWidth="1"/>
    <col min="23" max="23" width="18" customWidth="1"/>
    <col min="24" max="24" width="70" customWidth="1"/>
  </cols>
  <sheetData>
    <row r="1" spans="1:24" ht="17.649999999999999">
      <c r="A1" s="28" t="s">
        <v>715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3" spans="1:24" ht="13.9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 s="3" t="s">
        <v>42</v>
      </c>
    </row>
    <row r="4" spans="1:24" ht="54" hidden="1">
      <c r="A4" s="4" t="s">
        <v>60</v>
      </c>
      <c r="B4" t="s">
        <v>44</v>
      </c>
      <c r="C4" t="s">
        <v>45</v>
      </c>
      <c r="D4" s="13" t="s">
        <v>61</v>
      </c>
      <c r="E4" t="s">
        <v>56</v>
      </c>
      <c r="F4" t="s">
        <v>48</v>
      </c>
      <c r="G4" t="s">
        <v>57</v>
      </c>
      <c r="H4" s="9">
        <v>35700000</v>
      </c>
      <c r="I4" s="9">
        <v>35700000</v>
      </c>
      <c r="J4" s="9">
        <f t="shared" ref="J4:J29" si="0">IF(OR(H4="",I4=""),"",I4-H4)</f>
        <v>0</v>
      </c>
      <c r="K4" s="9">
        <v>0</v>
      </c>
      <c r="L4" s="9">
        <v>34328304</v>
      </c>
      <c r="M4" s="9">
        <f t="shared" ref="M4:M29" si="1">IF(OR(K4="",L4=""),"",L4-K4)</f>
        <v>34328304</v>
      </c>
      <c r="N4" s="17">
        <v>0</v>
      </c>
      <c r="O4" s="17">
        <v>0.96</v>
      </c>
      <c r="P4" s="17">
        <f t="shared" ref="P4:P29" si="2">IF(OR(N4="",O4=""),"",O4-N4)</f>
        <v>0.96</v>
      </c>
      <c r="Q4" t="s">
        <v>49</v>
      </c>
      <c r="R4" t="s">
        <v>49</v>
      </c>
      <c r="S4" s="13" t="s">
        <v>62</v>
      </c>
      <c r="T4" s="13" t="s">
        <v>62</v>
      </c>
      <c r="U4" s="13" t="s">
        <v>63</v>
      </c>
      <c r="V4" s="13" t="s">
        <v>63</v>
      </c>
      <c r="W4" t="s">
        <v>64</v>
      </c>
      <c r="X4" s="15" t="s">
        <v>65</v>
      </c>
    </row>
    <row r="5" spans="1:24" ht="40.5" hidden="1">
      <c r="A5" s="4" t="s">
        <v>82</v>
      </c>
      <c r="B5" t="s">
        <v>44</v>
      </c>
      <c r="C5" t="s">
        <v>45</v>
      </c>
      <c r="D5" s="13" t="s">
        <v>83</v>
      </c>
      <c r="E5" t="s">
        <v>47</v>
      </c>
      <c r="F5" t="s">
        <v>48</v>
      </c>
      <c r="G5" t="s">
        <v>84</v>
      </c>
      <c r="H5" s="9">
        <v>15000000</v>
      </c>
      <c r="I5" s="9">
        <v>15000000</v>
      </c>
      <c r="J5" s="9">
        <f t="shared" si="0"/>
        <v>0</v>
      </c>
      <c r="K5" s="9">
        <v>0</v>
      </c>
      <c r="L5" s="9">
        <v>14719559</v>
      </c>
      <c r="M5" s="9">
        <f t="shared" si="1"/>
        <v>14719559</v>
      </c>
      <c r="N5" s="17">
        <v>0</v>
      </c>
      <c r="O5" s="17">
        <v>0.98</v>
      </c>
      <c r="P5" s="17">
        <f t="shared" si="2"/>
        <v>0.98</v>
      </c>
      <c r="Q5" t="s">
        <v>49</v>
      </c>
      <c r="R5" t="s">
        <v>49</v>
      </c>
      <c r="S5" s="13" t="s">
        <v>85</v>
      </c>
      <c r="T5" s="13" t="s">
        <v>85</v>
      </c>
      <c r="U5" s="13" t="s">
        <v>63</v>
      </c>
      <c r="V5" s="13" t="s">
        <v>63</v>
      </c>
      <c r="W5" t="s">
        <v>64</v>
      </c>
      <c r="X5" s="15" t="s">
        <v>86</v>
      </c>
    </row>
    <row r="6" spans="1:24" ht="40.5" hidden="1">
      <c r="A6" s="4" t="s">
        <v>91</v>
      </c>
      <c r="B6" t="s">
        <v>44</v>
      </c>
      <c r="C6" t="s">
        <v>45</v>
      </c>
      <c r="D6" s="13" t="s">
        <v>92</v>
      </c>
      <c r="E6" t="s">
        <v>47</v>
      </c>
      <c r="F6" t="s">
        <v>48</v>
      </c>
      <c r="H6" s="9">
        <v>12160000</v>
      </c>
      <c r="I6" s="9"/>
      <c r="J6" s="9" t="str">
        <f t="shared" si="0"/>
        <v/>
      </c>
      <c r="K6" s="9">
        <v>0</v>
      </c>
      <c r="L6" s="9"/>
      <c r="M6" s="9" t="str">
        <f t="shared" si="1"/>
        <v/>
      </c>
      <c r="N6" s="17">
        <v>0</v>
      </c>
      <c r="O6" s="17"/>
      <c r="P6" s="17" t="str">
        <f t="shared" si="2"/>
        <v/>
      </c>
      <c r="Q6" t="s">
        <v>49</v>
      </c>
      <c r="S6" s="13" t="s">
        <v>93</v>
      </c>
      <c r="T6" s="13"/>
      <c r="U6" s="13" t="s">
        <v>63</v>
      </c>
      <c r="V6" s="13"/>
      <c r="W6" t="s">
        <v>94</v>
      </c>
      <c r="X6" s="15" t="s">
        <v>95</v>
      </c>
    </row>
    <row r="7" spans="1:24" ht="40.5" hidden="1">
      <c r="A7" s="4" t="s">
        <v>96</v>
      </c>
      <c r="B7" t="s">
        <v>44</v>
      </c>
      <c r="C7" t="s">
        <v>45</v>
      </c>
      <c r="D7" s="13" t="s">
        <v>97</v>
      </c>
      <c r="E7" t="s">
        <v>47</v>
      </c>
      <c r="F7" t="s">
        <v>48</v>
      </c>
      <c r="H7" s="9">
        <v>26000000</v>
      </c>
      <c r="I7" s="9"/>
      <c r="J7" s="9" t="str">
        <f t="shared" si="0"/>
        <v/>
      </c>
      <c r="K7" s="9">
        <v>0</v>
      </c>
      <c r="L7" s="9"/>
      <c r="M7" s="9" t="str">
        <f t="shared" si="1"/>
        <v/>
      </c>
      <c r="N7" s="17">
        <v>0</v>
      </c>
      <c r="O7" s="17"/>
      <c r="P7" s="17" t="str">
        <f t="shared" si="2"/>
        <v/>
      </c>
      <c r="Q7" t="s">
        <v>49</v>
      </c>
      <c r="S7" s="13" t="s">
        <v>98</v>
      </c>
      <c r="T7" s="13"/>
      <c r="U7" s="13" t="s">
        <v>63</v>
      </c>
      <c r="V7" s="13"/>
      <c r="W7" t="s">
        <v>94</v>
      </c>
      <c r="X7" s="15" t="s">
        <v>95</v>
      </c>
    </row>
    <row r="8" spans="1:24" ht="40.5" hidden="1">
      <c r="A8" s="4" t="s">
        <v>102</v>
      </c>
      <c r="B8" t="s">
        <v>44</v>
      </c>
      <c r="C8" t="s">
        <v>45</v>
      </c>
      <c r="D8" s="13" t="s">
        <v>92</v>
      </c>
      <c r="E8" t="s">
        <v>47</v>
      </c>
      <c r="F8" t="s">
        <v>48</v>
      </c>
      <c r="H8" s="9">
        <v>44800000</v>
      </c>
      <c r="I8" s="9"/>
      <c r="J8" s="9" t="str">
        <f t="shared" si="0"/>
        <v/>
      </c>
      <c r="K8" s="9">
        <v>0</v>
      </c>
      <c r="L8" s="9"/>
      <c r="M8" s="9" t="str">
        <f t="shared" si="1"/>
        <v/>
      </c>
      <c r="N8" s="17">
        <v>0</v>
      </c>
      <c r="O8" s="17"/>
      <c r="P8" s="17" t="str">
        <f t="shared" si="2"/>
        <v/>
      </c>
      <c r="Q8" t="s">
        <v>49</v>
      </c>
      <c r="S8" s="13" t="s">
        <v>103</v>
      </c>
      <c r="T8" s="13"/>
      <c r="U8" s="13" t="s">
        <v>63</v>
      </c>
      <c r="V8" s="13"/>
      <c r="W8" t="s">
        <v>94</v>
      </c>
      <c r="X8" s="15" t="s">
        <v>95</v>
      </c>
    </row>
    <row r="9" spans="1:24" s="30" customFormat="1" ht="40.5">
      <c r="A9" s="29" t="s">
        <v>288</v>
      </c>
      <c r="B9" s="30" t="s">
        <v>44</v>
      </c>
      <c r="C9" s="30" t="s">
        <v>45</v>
      </c>
      <c r="D9" s="31" t="s">
        <v>289</v>
      </c>
      <c r="E9" s="30" t="s">
        <v>47</v>
      </c>
      <c r="F9" s="30" t="s">
        <v>84</v>
      </c>
      <c r="G9" s="30" t="s">
        <v>48</v>
      </c>
      <c r="H9" s="32">
        <v>74000000</v>
      </c>
      <c r="I9" s="32">
        <v>74000000</v>
      </c>
      <c r="J9" s="32">
        <f t="shared" si="0"/>
        <v>0</v>
      </c>
      <c r="K9" s="32">
        <v>73546380</v>
      </c>
      <c r="L9" s="32">
        <v>0</v>
      </c>
      <c r="M9" s="32">
        <f t="shared" si="1"/>
        <v>-73546380</v>
      </c>
      <c r="N9" s="33">
        <v>0.99</v>
      </c>
      <c r="O9" s="33">
        <v>0</v>
      </c>
      <c r="P9" s="33">
        <f t="shared" si="2"/>
        <v>-0.99</v>
      </c>
      <c r="Q9" s="30" t="s">
        <v>49</v>
      </c>
      <c r="R9" s="30" t="s">
        <v>49</v>
      </c>
      <c r="S9" s="31" t="s">
        <v>290</v>
      </c>
      <c r="T9" s="31" t="s">
        <v>290</v>
      </c>
      <c r="U9" s="31" t="s">
        <v>291</v>
      </c>
      <c r="V9" s="31" t="s">
        <v>291</v>
      </c>
      <c r="W9" s="30" t="s">
        <v>64</v>
      </c>
      <c r="X9" s="34" t="s">
        <v>292</v>
      </c>
    </row>
    <row r="10" spans="1:24" s="30" customFormat="1" ht="40.5">
      <c r="A10" s="29" t="s">
        <v>334</v>
      </c>
      <c r="B10" s="30" t="s">
        <v>44</v>
      </c>
      <c r="C10" s="30" t="s">
        <v>45</v>
      </c>
      <c r="D10" s="31" t="s">
        <v>335</v>
      </c>
      <c r="E10" s="30" t="s">
        <v>47</v>
      </c>
      <c r="F10" s="30" t="s">
        <v>84</v>
      </c>
      <c r="G10" s="30" t="s">
        <v>48</v>
      </c>
      <c r="H10" s="32">
        <v>20800000</v>
      </c>
      <c r="I10" s="32">
        <v>20800000</v>
      </c>
      <c r="J10" s="32">
        <f t="shared" si="0"/>
        <v>0</v>
      </c>
      <c r="K10" s="32">
        <v>20672036.16</v>
      </c>
      <c r="L10" s="32">
        <v>0</v>
      </c>
      <c r="M10" s="32">
        <f t="shared" si="1"/>
        <v>-20672036.16</v>
      </c>
      <c r="N10" s="33">
        <v>0.99</v>
      </c>
      <c r="O10" s="33">
        <v>0</v>
      </c>
      <c r="P10" s="33">
        <f t="shared" si="2"/>
        <v>-0.99</v>
      </c>
      <c r="Q10" s="30" t="s">
        <v>49</v>
      </c>
      <c r="R10" s="30" t="s">
        <v>49</v>
      </c>
      <c r="S10" s="31" t="s">
        <v>336</v>
      </c>
      <c r="T10" s="31" t="s">
        <v>336</v>
      </c>
      <c r="U10" s="31" t="s">
        <v>260</v>
      </c>
      <c r="V10" s="31" t="s">
        <v>260</v>
      </c>
      <c r="W10" s="30" t="s">
        <v>64</v>
      </c>
      <c r="X10" s="34" t="s">
        <v>337</v>
      </c>
    </row>
    <row r="11" spans="1:24" s="30" customFormat="1" ht="40.5">
      <c r="A11" s="29" t="s">
        <v>338</v>
      </c>
      <c r="B11" s="30" t="s">
        <v>44</v>
      </c>
      <c r="C11" s="30" t="s">
        <v>45</v>
      </c>
      <c r="D11" s="31" t="s">
        <v>339</v>
      </c>
      <c r="E11" s="30" t="s">
        <v>47</v>
      </c>
      <c r="F11" s="30" t="s">
        <v>84</v>
      </c>
      <c r="G11" s="30" t="s">
        <v>48</v>
      </c>
      <c r="H11" s="32">
        <v>164493000</v>
      </c>
      <c r="I11" s="32">
        <v>164493000</v>
      </c>
      <c r="J11" s="32">
        <f t="shared" si="0"/>
        <v>0</v>
      </c>
      <c r="K11" s="32">
        <v>163947747.03</v>
      </c>
      <c r="L11" s="32">
        <v>0</v>
      </c>
      <c r="M11" s="32">
        <f t="shared" si="1"/>
        <v>-163947747.03</v>
      </c>
      <c r="N11" s="33">
        <v>1</v>
      </c>
      <c r="O11" s="33">
        <v>0</v>
      </c>
      <c r="P11" s="33">
        <f t="shared" si="2"/>
        <v>-1</v>
      </c>
      <c r="Q11" s="30" t="s">
        <v>49</v>
      </c>
      <c r="R11" s="30" t="s">
        <v>49</v>
      </c>
      <c r="S11" s="31" t="s">
        <v>340</v>
      </c>
      <c r="T11" s="31" t="s">
        <v>340</v>
      </c>
      <c r="U11" s="31" t="s">
        <v>63</v>
      </c>
      <c r="V11" s="31" t="s">
        <v>63</v>
      </c>
      <c r="W11" s="30" t="s">
        <v>64</v>
      </c>
      <c r="X11" s="34" t="s">
        <v>341</v>
      </c>
    </row>
    <row r="12" spans="1:24" s="30" customFormat="1" ht="40.5">
      <c r="A12" s="29" t="s">
        <v>342</v>
      </c>
      <c r="B12" s="30" t="s">
        <v>44</v>
      </c>
      <c r="C12" s="30" t="s">
        <v>45</v>
      </c>
      <c r="D12" s="31" t="s">
        <v>343</v>
      </c>
      <c r="E12" s="30" t="s">
        <v>47</v>
      </c>
      <c r="F12" s="30" t="s">
        <v>84</v>
      </c>
      <c r="G12" s="30" t="s">
        <v>48</v>
      </c>
      <c r="H12" s="32">
        <v>33920000</v>
      </c>
      <c r="I12" s="32">
        <v>33920000</v>
      </c>
      <c r="J12" s="32">
        <f t="shared" si="0"/>
        <v>0</v>
      </c>
      <c r="K12" s="32">
        <v>33821665.920000002</v>
      </c>
      <c r="L12" s="32">
        <v>0</v>
      </c>
      <c r="M12" s="32">
        <f t="shared" si="1"/>
        <v>-33821665.920000002</v>
      </c>
      <c r="N12" s="33">
        <v>1</v>
      </c>
      <c r="O12" s="33">
        <v>0</v>
      </c>
      <c r="P12" s="33">
        <f t="shared" si="2"/>
        <v>-1</v>
      </c>
      <c r="Q12" s="30" t="s">
        <v>49</v>
      </c>
      <c r="R12" s="30" t="s">
        <v>49</v>
      </c>
      <c r="S12" s="31" t="s">
        <v>344</v>
      </c>
      <c r="T12" s="31" t="s">
        <v>344</v>
      </c>
      <c r="U12" s="31" t="s">
        <v>345</v>
      </c>
      <c r="V12" s="31" t="s">
        <v>345</v>
      </c>
      <c r="W12" s="30" t="s">
        <v>64</v>
      </c>
      <c r="X12" s="34" t="s">
        <v>346</v>
      </c>
    </row>
    <row r="13" spans="1:24" s="30" customFormat="1" ht="40.5">
      <c r="A13" s="29" t="s">
        <v>347</v>
      </c>
      <c r="B13" s="30" t="s">
        <v>44</v>
      </c>
      <c r="C13" s="30" t="s">
        <v>45</v>
      </c>
      <c r="D13" s="31" t="s">
        <v>348</v>
      </c>
      <c r="E13" s="30" t="s">
        <v>47</v>
      </c>
      <c r="F13" s="30" t="s">
        <v>84</v>
      </c>
      <c r="G13" s="30" t="s">
        <v>48</v>
      </c>
      <c r="H13" s="32">
        <v>61000000</v>
      </c>
      <c r="I13" s="32">
        <v>61000000</v>
      </c>
      <c r="J13" s="32">
        <f t="shared" si="0"/>
        <v>0</v>
      </c>
      <c r="K13" s="32">
        <v>60627534</v>
      </c>
      <c r="L13" s="32">
        <v>0</v>
      </c>
      <c r="M13" s="32">
        <f t="shared" si="1"/>
        <v>-60627534</v>
      </c>
      <c r="N13" s="33">
        <v>0.99</v>
      </c>
      <c r="O13" s="33">
        <v>0</v>
      </c>
      <c r="P13" s="33">
        <f t="shared" si="2"/>
        <v>-0.99</v>
      </c>
      <c r="Q13" s="30" t="s">
        <v>49</v>
      </c>
      <c r="R13" s="30" t="s">
        <v>49</v>
      </c>
      <c r="S13" s="31" t="s">
        <v>349</v>
      </c>
      <c r="T13" s="31" t="s">
        <v>349</v>
      </c>
      <c r="U13" s="31" t="s">
        <v>350</v>
      </c>
      <c r="V13" s="31" t="s">
        <v>350</v>
      </c>
      <c r="W13" s="30" t="s">
        <v>64</v>
      </c>
      <c r="X13" s="34" t="s">
        <v>351</v>
      </c>
    </row>
    <row r="14" spans="1:24" s="30" customFormat="1" ht="27">
      <c r="A14" s="29" t="s">
        <v>375</v>
      </c>
      <c r="B14" s="30" t="s">
        <v>44</v>
      </c>
      <c r="C14" s="30" t="s">
        <v>45</v>
      </c>
      <c r="D14" s="31" t="s">
        <v>376</v>
      </c>
      <c r="E14" s="30" t="s">
        <v>47</v>
      </c>
      <c r="F14" s="30" t="s">
        <v>84</v>
      </c>
      <c r="G14" s="30" t="s">
        <v>48</v>
      </c>
      <c r="H14" s="32">
        <v>71000000</v>
      </c>
      <c r="I14" s="32">
        <v>71000000</v>
      </c>
      <c r="J14" s="32">
        <f t="shared" si="0"/>
        <v>0</v>
      </c>
      <c r="K14" s="32">
        <v>70584480.420000002</v>
      </c>
      <c r="L14" s="32">
        <v>0</v>
      </c>
      <c r="M14" s="32">
        <f t="shared" si="1"/>
        <v>-70584480.420000002</v>
      </c>
      <c r="N14" s="33">
        <v>0.99</v>
      </c>
      <c r="O14" s="33">
        <v>0</v>
      </c>
      <c r="P14" s="33">
        <f t="shared" si="2"/>
        <v>-0.99</v>
      </c>
      <c r="Q14" s="30" t="s">
        <v>49</v>
      </c>
      <c r="R14" s="30" t="s">
        <v>49</v>
      </c>
      <c r="S14" s="31" t="s">
        <v>377</v>
      </c>
      <c r="T14" s="31" t="s">
        <v>377</v>
      </c>
      <c r="U14" s="31" t="s">
        <v>260</v>
      </c>
      <c r="V14" s="31" t="s">
        <v>260</v>
      </c>
      <c r="W14" s="30" t="s">
        <v>64</v>
      </c>
      <c r="X14" s="34" t="s">
        <v>378</v>
      </c>
    </row>
    <row r="15" spans="1:24" s="30" customFormat="1" ht="40.5">
      <c r="A15" s="29" t="s">
        <v>379</v>
      </c>
      <c r="B15" s="30" t="s">
        <v>44</v>
      </c>
      <c r="C15" s="30" t="s">
        <v>45</v>
      </c>
      <c r="D15" s="31" t="s">
        <v>380</v>
      </c>
      <c r="E15" s="30" t="s">
        <v>47</v>
      </c>
      <c r="F15" s="30" t="s">
        <v>84</v>
      </c>
      <c r="G15" s="30" t="s">
        <v>48</v>
      </c>
      <c r="H15" s="32">
        <v>169000000</v>
      </c>
      <c r="I15" s="32">
        <v>169000000</v>
      </c>
      <c r="J15" s="32">
        <f t="shared" si="0"/>
        <v>0</v>
      </c>
      <c r="K15" s="32">
        <v>167890319.40000001</v>
      </c>
      <c r="L15" s="32">
        <v>0</v>
      </c>
      <c r="M15" s="32">
        <f t="shared" si="1"/>
        <v>-167890319.40000001</v>
      </c>
      <c r="N15" s="33">
        <v>0.99</v>
      </c>
      <c r="O15" s="33">
        <v>0</v>
      </c>
      <c r="P15" s="33">
        <f t="shared" si="2"/>
        <v>-0.99</v>
      </c>
      <c r="Q15" s="30" t="s">
        <v>49</v>
      </c>
      <c r="R15" s="30" t="s">
        <v>49</v>
      </c>
      <c r="S15" s="31" t="s">
        <v>381</v>
      </c>
      <c r="T15" s="31" t="s">
        <v>381</v>
      </c>
      <c r="U15" s="31" t="s">
        <v>260</v>
      </c>
      <c r="V15" s="31" t="s">
        <v>260</v>
      </c>
      <c r="W15" s="30" t="s">
        <v>64</v>
      </c>
      <c r="X15" s="34" t="s">
        <v>382</v>
      </c>
    </row>
    <row r="16" spans="1:24" s="30" customFormat="1" ht="40.5">
      <c r="A16" s="29" t="s">
        <v>383</v>
      </c>
      <c r="B16" s="30" t="s">
        <v>44</v>
      </c>
      <c r="C16" s="30" t="s">
        <v>45</v>
      </c>
      <c r="D16" s="31" t="s">
        <v>384</v>
      </c>
      <c r="E16" s="30" t="s">
        <v>47</v>
      </c>
      <c r="F16" s="30" t="s">
        <v>84</v>
      </c>
      <c r="G16" s="30" t="s">
        <v>48</v>
      </c>
      <c r="H16" s="32">
        <v>133500000</v>
      </c>
      <c r="I16" s="32">
        <v>133500000</v>
      </c>
      <c r="J16" s="32">
        <f t="shared" si="0"/>
        <v>0</v>
      </c>
      <c r="K16" s="32">
        <v>133282251</v>
      </c>
      <c r="L16" s="32">
        <v>0</v>
      </c>
      <c r="M16" s="32">
        <f t="shared" si="1"/>
        <v>-133282251</v>
      </c>
      <c r="N16" s="33">
        <v>1</v>
      </c>
      <c r="O16" s="33">
        <v>0</v>
      </c>
      <c r="P16" s="33">
        <f t="shared" si="2"/>
        <v>-1</v>
      </c>
      <c r="Q16" s="30" t="s">
        <v>49</v>
      </c>
      <c r="R16" s="30" t="s">
        <v>49</v>
      </c>
      <c r="S16" s="31" t="s">
        <v>385</v>
      </c>
      <c r="T16" s="31" t="s">
        <v>385</v>
      </c>
      <c r="U16" s="31" t="s">
        <v>260</v>
      </c>
      <c r="V16" s="31" t="s">
        <v>260</v>
      </c>
      <c r="W16" s="30" t="s">
        <v>64</v>
      </c>
      <c r="X16" s="34" t="s">
        <v>386</v>
      </c>
    </row>
    <row r="17" spans="1:24" ht="27" hidden="1">
      <c r="A17" s="4" t="s">
        <v>401</v>
      </c>
      <c r="B17" t="s">
        <v>44</v>
      </c>
      <c r="C17" t="s">
        <v>45</v>
      </c>
      <c r="D17" s="13" t="s">
        <v>83</v>
      </c>
      <c r="E17" t="s">
        <v>47</v>
      </c>
      <c r="F17" t="s">
        <v>48</v>
      </c>
      <c r="G17" t="s">
        <v>84</v>
      </c>
      <c r="H17" s="9">
        <v>438000000</v>
      </c>
      <c r="I17" s="9">
        <v>438000000</v>
      </c>
      <c r="J17" s="9">
        <f t="shared" si="0"/>
        <v>0</v>
      </c>
      <c r="K17" s="9">
        <v>0</v>
      </c>
      <c r="L17" s="9">
        <v>50116529</v>
      </c>
      <c r="M17" s="9">
        <f t="shared" si="1"/>
        <v>50116529</v>
      </c>
      <c r="N17" s="17">
        <v>0</v>
      </c>
      <c r="O17" s="17">
        <v>0.11</v>
      </c>
      <c r="P17" s="17">
        <f t="shared" si="2"/>
        <v>0.11</v>
      </c>
      <c r="Q17" t="s">
        <v>49</v>
      </c>
      <c r="R17" t="s">
        <v>49</v>
      </c>
      <c r="S17" s="13" t="s">
        <v>402</v>
      </c>
      <c r="T17" s="13" t="s">
        <v>402</v>
      </c>
      <c r="U17" s="13" t="s">
        <v>260</v>
      </c>
      <c r="V17" s="13" t="s">
        <v>260</v>
      </c>
      <c r="W17" t="s">
        <v>64</v>
      </c>
      <c r="X17" s="15" t="s">
        <v>403</v>
      </c>
    </row>
    <row r="18" spans="1:24" ht="54" hidden="1">
      <c r="A18" s="4" t="s">
        <v>413</v>
      </c>
      <c r="B18" t="s">
        <v>44</v>
      </c>
      <c r="C18" t="s">
        <v>45</v>
      </c>
      <c r="D18" s="13" t="s">
        <v>414</v>
      </c>
      <c r="E18" t="s">
        <v>47</v>
      </c>
      <c r="F18" t="s">
        <v>48</v>
      </c>
      <c r="G18" t="s">
        <v>84</v>
      </c>
      <c r="H18" s="9">
        <v>85500000</v>
      </c>
      <c r="I18" s="9">
        <v>111500000</v>
      </c>
      <c r="J18" s="9">
        <f t="shared" si="0"/>
        <v>26000000</v>
      </c>
      <c r="K18" s="9">
        <v>0</v>
      </c>
      <c r="L18" s="9">
        <v>44767920</v>
      </c>
      <c r="M18" s="9">
        <f t="shared" si="1"/>
        <v>44767920</v>
      </c>
      <c r="N18" s="17">
        <v>0</v>
      </c>
      <c r="O18" s="17">
        <v>0.4</v>
      </c>
      <c r="P18" s="17">
        <f t="shared" si="2"/>
        <v>0.4</v>
      </c>
      <c r="Q18" t="s">
        <v>49</v>
      </c>
      <c r="R18" t="s">
        <v>49</v>
      </c>
      <c r="S18" s="13" t="s">
        <v>415</v>
      </c>
      <c r="T18" s="13" t="s">
        <v>415</v>
      </c>
      <c r="U18" s="13" t="s">
        <v>350</v>
      </c>
      <c r="V18" s="13" t="s">
        <v>350</v>
      </c>
      <c r="W18" t="s">
        <v>64</v>
      </c>
      <c r="X18" s="15" t="s">
        <v>416</v>
      </c>
    </row>
    <row r="19" spans="1:24" ht="27" hidden="1">
      <c r="A19" s="4" t="s">
        <v>417</v>
      </c>
      <c r="B19" t="s">
        <v>44</v>
      </c>
      <c r="C19" t="s">
        <v>45</v>
      </c>
      <c r="D19" s="13" t="s">
        <v>418</v>
      </c>
      <c r="E19" t="s">
        <v>47</v>
      </c>
      <c r="F19" t="s">
        <v>48</v>
      </c>
      <c r="H19" s="9">
        <v>20160000</v>
      </c>
      <c r="I19" s="9"/>
      <c r="J19" s="9" t="str">
        <f t="shared" si="0"/>
        <v/>
      </c>
      <c r="K19" s="9">
        <v>0</v>
      </c>
      <c r="L19" s="9"/>
      <c r="M19" s="9" t="str">
        <f t="shared" si="1"/>
        <v/>
      </c>
      <c r="N19" s="17">
        <v>0</v>
      </c>
      <c r="O19" s="17"/>
      <c r="P19" s="17" t="str">
        <f t="shared" si="2"/>
        <v/>
      </c>
      <c r="Q19" t="s">
        <v>49</v>
      </c>
      <c r="S19" s="13" t="s">
        <v>419</v>
      </c>
      <c r="T19" s="13"/>
      <c r="U19" s="13" t="s">
        <v>260</v>
      </c>
      <c r="V19" s="13"/>
      <c r="W19" t="s">
        <v>94</v>
      </c>
      <c r="X19" s="15" t="s">
        <v>95</v>
      </c>
    </row>
    <row r="20" spans="1:24" s="30" customFormat="1" ht="40.5">
      <c r="A20" s="29" t="s">
        <v>464</v>
      </c>
      <c r="B20" s="30" t="s">
        <v>44</v>
      </c>
      <c r="C20" s="30" t="s">
        <v>45</v>
      </c>
      <c r="D20" s="31" t="s">
        <v>465</v>
      </c>
      <c r="E20" s="30" t="s">
        <v>47</v>
      </c>
      <c r="F20" s="30" t="s">
        <v>84</v>
      </c>
      <c r="G20" s="30" t="s">
        <v>48</v>
      </c>
      <c r="H20" s="32">
        <v>852000000</v>
      </c>
      <c r="I20" s="32">
        <v>852000000</v>
      </c>
      <c r="J20" s="32">
        <f t="shared" si="0"/>
        <v>0</v>
      </c>
      <c r="K20" s="32">
        <v>75909331.349999994</v>
      </c>
      <c r="L20" s="32">
        <v>0</v>
      </c>
      <c r="M20" s="32">
        <f t="shared" si="1"/>
        <v>-75909331.349999994</v>
      </c>
      <c r="N20" s="33">
        <v>0.09</v>
      </c>
      <c r="O20" s="33">
        <v>0</v>
      </c>
      <c r="P20" s="33">
        <f t="shared" si="2"/>
        <v>-0.09</v>
      </c>
      <c r="Q20" s="30" t="s">
        <v>466</v>
      </c>
      <c r="R20" s="30" t="s">
        <v>466</v>
      </c>
      <c r="S20" s="31" t="s">
        <v>467</v>
      </c>
      <c r="T20" s="31" t="s">
        <v>467</v>
      </c>
      <c r="U20" s="31" t="s">
        <v>468</v>
      </c>
      <c r="V20" s="31" t="s">
        <v>468</v>
      </c>
      <c r="W20" s="30" t="s">
        <v>64</v>
      </c>
      <c r="X20" s="34" t="s">
        <v>469</v>
      </c>
    </row>
    <row r="21" spans="1:24" ht="40.5" hidden="1">
      <c r="A21" s="4" t="s">
        <v>481</v>
      </c>
      <c r="B21" t="s">
        <v>44</v>
      </c>
      <c r="C21" t="s">
        <v>45</v>
      </c>
      <c r="D21" s="13" t="s">
        <v>482</v>
      </c>
      <c r="E21" t="s">
        <v>47</v>
      </c>
      <c r="F21" t="s">
        <v>48</v>
      </c>
      <c r="G21" t="s">
        <v>84</v>
      </c>
      <c r="H21" s="9">
        <v>64000000</v>
      </c>
      <c r="I21" s="9">
        <v>64000000</v>
      </c>
      <c r="J21" s="9">
        <f t="shared" si="0"/>
        <v>0</v>
      </c>
      <c r="K21" s="9">
        <v>0</v>
      </c>
      <c r="L21" s="9">
        <v>23561600</v>
      </c>
      <c r="M21" s="9">
        <f t="shared" si="1"/>
        <v>23561600</v>
      </c>
      <c r="N21" s="17">
        <v>0</v>
      </c>
      <c r="O21" s="17">
        <v>0.37</v>
      </c>
      <c r="P21" s="17">
        <f t="shared" si="2"/>
        <v>0.37</v>
      </c>
      <c r="Q21" t="s">
        <v>49</v>
      </c>
      <c r="R21" t="s">
        <v>49</v>
      </c>
      <c r="S21" s="13" t="s">
        <v>483</v>
      </c>
      <c r="T21" s="13" t="s">
        <v>483</v>
      </c>
      <c r="U21" s="13" t="s">
        <v>350</v>
      </c>
      <c r="V21" s="13" t="s">
        <v>350</v>
      </c>
      <c r="W21" t="s">
        <v>64</v>
      </c>
      <c r="X21" s="15" t="s">
        <v>484</v>
      </c>
    </row>
    <row r="22" spans="1:24" ht="94.5" hidden="1">
      <c r="A22" s="4" t="s">
        <v>491</v>
      </c>
      <c r="B22" t="s">
        <v>44</v>
      </c>
      <c r="C22" t="s">
        <v>45</v>
      </c>
      <c r="D22" s="13" t="s">
        <v>492</v>
      </c>
      <c r="E22" t="s">
        <v>47</v>
      </c>
      <c r="F22" t="s">
        <v>48</v>
      </c>
      <c r="G22" t="s">
        <v>84</v>
      </c>
      <c r="H22" s="9">
        <v>300000000</v>
      </c>
      <c r="I22" s="9">
        <v>300000000</v>
      </c>
      <c r="J22" s="9">
        <f t="shared" si="0"/>
        <v>0</v>
      </c>
      <c r="K22" s="9">
        <v>0</v>
      </c>
      <c r="L22" s="9">
        <v>105233402</v>
      </c>
      <c r="M22" s="9">
        <f t="shared" si="1"/>
        <v>105233402</v>
      </c>
      <c r="N22" s="17">
        <v>0</v>
      </c>
      <c r="O22" s="17">
        <v>0.35</v>
      </c>
      <c r="P22" s="17">
        <f t="shared" si="2"/>
        <v>0.35</v>
      </c>
      <c r="Q22" t="s">
        <v>466</v>
      </c>
      <c r="R22" t="s">
        <v>466</v>
      </c>
      <c r="S22" s="13" t="s">
        <v>493</v>
      </c>
      <c r="T22" s="13" t="s">
        <v>494</v>
      </c>
      <c r="U22" s="13" t="s">
        <v>468</v>
      </c>
      <c r="V22" s="13" t="s">
        <v>495</v>
      </c>
      <c r="W22" t="s">
        <v>64</v>
      </c>
      <c r="X22" s="15" t="s">
        <v>496</v>
      </c>
    </row>
    <row r="23" spans="1:24" ht="40.5" hidden="1">
      <c r="A23" s="4" t="s">
        <v>521</v>
      </c>
      <c r="B23" t="s">
        <v>44</v>
      </c>
      <c r="C23" t="s">
        <v>45</v>
      </c>
      <c r="D23" s="13" t="s">
        <v>522</v>
      </c>
      <c r="E23" t="s">
        <v>47</v>
      </c>
      <c r="F23" t="s">
        <v>48</v>
      </c>
      <c r="G23" t="s">
        <v>84</v>
      </c>
      <c r="H23" s="9">
        <v>190155000</v>
      </c>
      <c r="I23" s="9">
        <v>190155000</v>
      </c>
      <c r="J23" s="9">
        <f t="shared" si="0"/>
        <v>0</v>
      </c>
      <c r="K23" s="9">
        <v>0</v>
      </c>
      <c r="L23" s="9">
        <v>91165314</v>
      </c>
      <c r="M23" s="9">
        <f t="shared" si="1"/>
        <v>91165314</v>
      </c>
      <c r="N23" s="17">
        <v>0</v>
      </c>
      <c r="O23" s="17">
        <v>0.48</v>
      </c>
      <c r="P23" s="17">
        <f t="shared" si="2"/>
        <v>0.48</v>
      </c>
      <c r="Q23" t="s">
        <v>49</v>
      </c>
      <c r="R23" t="s">
        <v>49</v>
      </c>
      <c r="S23" s="13" t="s">
        <v>523</v>
      </c>
      <c r="T23" s="13" t="s">
        <v>523</v>
      </c>
      <c r="U23" s="13" t="s">
        <v>350</v>
      </c>
      <c r="V23" s="13" t="s">
        <v>350</v>
      </c>
      <c r="W23" t="s">
        <v>64</v>
      </c>
      <c r="X23" s="15" t="s">
        <v>524</v>
      </c>
    </row>
    <row r="24" spans="1:24" ht="27" hidden="1">
      <c r="A24" s="4" t="s">
        <v>525</v>
      </c>
      <c r="B24" t="s">
        <v>44</v>
      </c>
      <c r="C24" t="s">
        <v>45</v>
      </c>
      <c r="D24" s="13" t="s">
        <v>526</v>
      </c>
      <c r="E24" t="s">
        <v>56</v>
      </c>
      <c r="F24" t="s">
        <v>48</v>
      </c>
      <c r="H24" s="9">
        <v>462400000</v>
      </c>
      <c r="I24" s="9"/>
      <c r="J24" s="9" t="str">
        <f t="shared" si="0"/>
        <v/>
      </c>
      <c r="K24" s="9">
        <v>0</v>
      </c>
      <c r="L24" s="9"/>
      <c r="M24" s="9" t="str">
        <f t="shared" si="1"/>
        <v/>
      </c>
      <c r="N24" s="17">
        <v>0</v>
      </c>
      <c r="O24" s="17"/>
      <c r="P24" s="17" t="str">
        <f t="shared" si="2"/>
        <v/>
      </c>
      <c r="Q24" t="s">
        <v>49</v>
      </c>
      <c r="S24" s="13" t="s">
        <v>527</v>
      </c>
      <c r="T24" s="13"/>
      <c r="U24" s="13" t="s">
        <v>260</v>
      </c>
      <c r="V24" s="13"/>
      <c r="W24" t="s">
        <v>94</v>
      </c>
      <c r="X24" s="15" t="s">
        <v>95</v>
      </c>
    </row>
    <row r="25" spans="1:24" ht="27" hidden="1">
      <c r="A25" s="4" t="s">
        <v>541</v>
      </c>
      <c r="B25" t="s">
        <v>44</v>
      </c>
      <c r="C25" t="s">
        <v>45</v>
      </c>
      <c r="D25" s="13" t="s">
        <v>542</v>
      </c>
      <c r="E25" t="s">
        <v>47</v>
      </c>
      <c r="F25" t="s">
        <v>48</v>
      </c>
      <c r="G25" t="s">
        <v>84</v>
      </c>
      <c r="H25" s="9">
        <v>330000000</v>
      </c>
      <c r="I25" s="9">
        <v>330000000</v>
      </c>
      <c r="J25" s="9">
        <f t="shared" si="0"/>
        <v>0</v>
      </c>
      <c r="K25" s="9">
        <v>0</v>
      </c>
      <c r="L25" s="9">
        <v>74551796</v>
      </c>
      <c r="M25" s="9">
        <f t="shared" si="1"/>
        <v>74551796</v>
      </c>
      <c r="N25" s="17">
        <v>0</v>
      </c>
      <c r="O25" s="17">
        <v>0.23</v>
      </c>
      <c r="P25" s="17">
        <f t="shared" si="2"/>
        <v>0.23</v>
      </c>
      <c r="Q25" t="s">
        <v>49</v>
      </c>
      <c r="R25" t="s">
        <v>49</v>
      </c>
      <c r="S25" s="13" t="s">
        <v>527</v>
      </c>
      <c r="T25" s="13" t="s">
        <v>527</v>
      </c>
      <c r="U25" s="13" t="s">
        <v>260</v>
      </c>
      <c r="V25" s="13" t="s">
        <v>260</v>
      </c>
      <c r="W25" t="s">
        <v>64</v>
      </c>
      <c r="X25" s="15" t="s">
        <v>543</v>
      </c>
    </row>
    <row r="26" spans="1:24" ht="27" hidden="1">
      <c r="A26" s="4" t="s">
        <v>547</v>
      </c>
      <c r="B26" t="s">
        <v>44</v>
      </c>
      <c r="C26" t="s">
        <v>45</v>
      </c>
      <c r="D26" s="13" t="s">
        <v>548</v>
      </c>
      <c r="E26" t="s">
        <v>47</v>
      </c>
      <c r="F26" t="s">
        <v>48</v>
      </c>
      <c r="G26" t="s">
        <v>84</v>
      </c>
      <c r="H26" s="9">
        <v>35200000</v>
      </c>
      <c r="I26" s="9">
        <v>35200000</v>
      </c>
      <c r="J26" s="9">
        <f t="shared" si="0"/>
        <v>0</v>
      </c>
      <c r="K26" s="9">
        <v>0</v>
      </c>
      <c r="L26" s="9">
        <v>7960000</v>
      </c>
      <c r="M26" s="9">
        <f t="shared" si="1"/>
        <v>7960000</v>
      </c>
      <c r="N26" s="17">
        <v>0</v>
      </c>
      <c r="O26" s="17">
        <v>0.23</v>
      </c>
      <c r="P26" s="17">
        <f t="shared" si="2"/>
        <v>0.23</v>
      </c>
      <c r="Q26" t="s">
        <v>49</v>
      </c>
      <c r="R26" t="s">
        <v>49</v>
      </c>
      <c r="S26" s="13" t="s">
        <v>540</v>
      </c>
      <c r="T26" s="13" t="s">
        <v>540</v>
      </c>
      <c r="U26" s="13" t="s">
        <v>260</v>
      </c>
      <c r="V26" s="13" t="s">
        <v>260</v>
      </c>
      <c r="W26" t="s">
        <v>64</v>
      </c>
      <c r="X26" s="15" t="s">
        <v>549</v>
      </c>
    </row>
    <row r="27" spans="1:24" ht="40.5" hidden="1">
      <c r="A27" s="4" t="s">
        <v>706</v>
      </c>
      <c r="B27" t="s">
        <v>44</v>
      </c>
      <c r="C27" t="s">
        <v>45</v>
      </c>
      <c r="D27" s="13" t="s">
        <v>92</v>
      </c>
      <c r="E27" t="s">
        <v>47</v>
      </c>
      <c r="G27" t="s">
        <v>48</v>
      </c>
      <c r="H27" s="9"/>
      <c r="I27" s="9">
        <v>32320000</v>
      </c>
      <c r="J27" s="9" t="str">
        <f t="shared" si="0"/>
        <v/>
      </c>
      <c r="K27" s="9"/>
      <c r="L27" s="9">
        <v>0</v>
      </c>
      <c r="M27" s="9" t="str">
        <f t="shared" si="1"/>
        <v/>
      </c>
      <c r="N27" s="17"/>
      <c r="O27" s="17">
        <v>0</v>
      </c>
      <c r="P27" s="17" t="str">
        <f t="shared" si="2"/>
        <v/>
      </c>
      <c r="R27" t="s">
        <v>49</v>
      </c>
      <c r="S27" s="13"/>
      <c r="T27" s="13" t="s">
        <v>707</v>
      </c>
      <c r="U27" s="13"/>
      <c r="V27" s="13" t="s">
        <v>260</v>
      </c>
      <c r="W27" t="s">
        <v>708</v>
      </c>
      <c r="X27" s="15" t="s">
        <v>709</v>
      </c>
    </row>
    <row r="28" spans="1:24" s="30" customFormat="1" ht="40.5">
      <c r="A28" s="29" t="s">
        <v>710</v>
      </c>
      <c r="B28" s="30" t="s">
        <v>44</v>
      </c>
      <c r="C28" s="30" t="s">
        <v>711</v>
      </c>
      <c r="D28" s="31" t="s">
        <v>712</v>
      </c>
      <c r="E28" s="30" t="s">
        <v>47</v>
      </c>
      <c r="F28" s="30" t="s">
        <v>84</v>
      </c>
      <c r="H28" s="32">
        <v>0</v>
      </c>
      <c r="I28" s="32"/>
      <c r="J28" s="32" t="str">
        <f t="shared" si="0"/>
        <v/>
      </c>
      <c r="K28" s="32">
        <v>159192761.99000001</v>
      </c>
      <c r="L28" s="32"/>
      <c r="M28" s="32" t="str">
        <f t="shared" si="1"/>
        <v/>
      </c>
      <c r="N28" s="33">
        <v>0</v>
      </c>
      <c r="O28" s="33"/>
      <c r="P28" s="33" t="str">
        <f t="shared" si="2"/>
        <v/>
      </c>
      <c r="Q28" s="30" t="s">
        <v>713</v>
      </c>
      <c r="S28" s="31" t="s">
        <v>260</v>
      </c>
      <c r="T28" s="31"/>
      <c r="U28" s="31" t="s">
        <v>260</v>
      </c>
      <c r="V28" s="31"/>
      <c r="W28" s="30" t="s">
        <v>94</v>
      </c>
      <c r="X28" s="34" t="s">
        <v>95</v>
      </c>
    </row>
    <row r="29" spans="1:24" s="30" customFormat="1" ht="40.5">
      <c r="A29" s="35" t="s">
        <v>714</v>
      </c>
      <c r="B29" s="36" t="s">
        <v>44</v>
      </c>
      <c r="C29" s="36" t="s">
        <v>45</v>
      </c>
      <c r="D29" s="37" t="s">
        <v>97</v>
      </c>
      <c r="E29" s="36" t="s">
        <v>47</v>
      </c>
      <c r="F29" s="36" t="s">
        <v>84</v>
      </c>
      <c r="G29" s="36"/>
      <c r="H29" s="38">
        <v>26000000</v>
      </c>
      <c r="I29" s="38"/>
      <c r="J29" s="38" t="str">
        <f t="shared" si="0"/>
        <v/>
      </c>
      <c r="K29" s="38">
        <v>50741319</v>
      </c>
      <c r="L29" s="38"/>
      <c r="M29" s="38" t="str">
        <f t="shared" si="1"/>
        <v/>
      </c>
      <c r="N29" s="39">
        <v>1.95</v>
      </c>
      <c r="O29" s="39"/>
      <c r="P29" s="39" t="str">
        <f t="shared" si="2"/>
        <v/>
      </c>
      <c r="Q29" s="36" t="s">
        <v>49</v>
      </c>
      <c r="R29" s="36"/>
      <c r="S29" s="37" t="s">
        <v>98</v>
      </c>
      <c r="T29" s="37"/>
      <c r="U29" s="37" t="s">
        <v>63</v>
      </c>
      <c r="V29" s="37"/>
      <c r="W29" s="36" t="s">
        <v>94</v>
      </c>
      <c r="X29" s="40" t="s">
        <v>95</v>
      </c>
    </row>
  </sheetData>
  <autoFilter ref="A3:X29" xr:uid="{00000000-0001-0000-0200-000000000000}">
    <filterColumn colId="5">
      <filters>
        <filter val="COMPLETED"/>
      </filters>
    </filterColumn>
  </autoFilter>
  <mergeCells count="1">
    <mergeCell ref="A1:X1"/>
  </mergeCells>
  <conditionalFormatting sqref="J4:J29">
    <cfRule type="cellIs" dxfId="9" priority="5" operator="greaterThan">
      <formula>0</formula>
    </cfRule>
    <cfRule type="cellIs" dxfId="8" priority="6" operator="lessThan">
      <formula>0</formula>
    </cfRule>
  </conditionalFormatting>
  <conditionalFormatting sqref="M4:M29">
    <cfRule type="cellIs" dxfId="7" priority="7" operator="greaterThan">
      <formula>0</formula>
    </cfRule>
    <cfRule type="cellIs" dxfId="6" priority="8" operator="lessThan">
      <formula>0</formula>
    </cfRule>
  </conditionalFormatting>
  <conditionalFormatting sqref="P4:P29">
    <cfRule type="cellIs" dxfId="5" priority="9" operator="greaterThan">
      <formula>0</formula>
    </cfRule>
    <cfRule type="cellIs" dxfId="4" priority="10" operator="lessThan">
      <formula>0</formula>
    </cfRule>
  </conditionalFormatting>
  <conditionalFormatting sqref="W4:W29">
    <cfRule type="expression" dxfId="3" priority="1">
      <formula>W4="BERUBAH"</formula>
    </cfRule>
    <cfRule type="expression" dxfId="2" priority="2">
      <formula>W4="TETAP"</formula>
    </cfRule>
    <cfRule type="expression" dxfId="1" priority="3">
      <formula>W4="PAKET BARU"</formula>
    </cfRule>
    <cfRule type="expression" dxfId="0" priority="4">
      <formula>W4="TIDAK MUNCUL"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4"/>
  <sheetViews>
    <sheetView workbookViewId="0"/>
  </sheetViews>
  <sheetFormatPr defaultRowHeight="13.5"/>
  <cols>
    <col min="1" max="1" width="18" customWidth="1"/>
    <col min="2" max="2" width="34" customWidth="1"/>
    <col min="3" max="3" width="20" customWidth="1"/>
    <col min="4" max="4" width="46" customWidth="1"/>
    <col min="5" max="5" width="18" customWidth="1"/>
    <col min="6" max="6" width="24" customWidth="1"/>
    <col min="7" max="8" width="18" customWidth="1"/>
    <col min="9" max="9" width="14" customWidth="1"/>
    <col min="10" max="10" width="18" customWidth="1"/>
    <col min="11" max="12" width="46" customWidth="1"/>
  </cols>
  <sheetData>
    <row r="1" spans="1:12" ht="17.649999999999999">
      <c r="A1" s="28" t="s">
        <v>716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3" spans="1:12" ht="13.9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717</v>
      </c>
      <c r="G3" s="2" t="s">
        <v>718</v>
      </c>
      <c r="H3" s="2" t="s">
        <v>719</v>
      </c>
      <c r="I3" s="2" t="s">
        <v>720</v>
      </c>
      <c r="J3" s="2" t="s">
        <v>721</v>
      </c>
      <c r="K3" s="2" t="s">
        <v>722</v>
      </c>
      <c r="L3" s="3" t="s">
        <v>723</v>
      </c>
    </row>
    <row r="4" spans="1:12">
      <c r="A4" s="4" t="s">
        <v>54</v>
      </c>
      <c r="B4" t="s">
        <v>44</v>
      </c>
      <c r="C4" t="s">
        <v>45</v>
      </c>
      <c r="D4" s="13" t="s">
        <v>55</v>
      </c>
      <c r="E4" t="s">
        <v>56</v>
      </c>
      <c r="F4" t="s">
        <v>57</v>
      </c>
      <c r="G4" s="9">
        <v>1239840000</v>
      </c>
      <c r="H4" s="9">
        <v>1239747264</v>
      </c>
      <c r="I4" s="11">
        <v>100</v>
      </c>
      <c r="J4" t="s">
        <v>49</v>
      </c>
      <c r="K4" s="13" t="s">
        <v>50</v>
      </c>
      <c r="L4" s="15" t="s">
        <v>51</v>
      </c>
    </row>
    <row r="5" spans="1:12" ht="27">
      <c r="A5" s="4" t="s">
        <v>58</v>
      </c>
      <c r="B5" t="s">
        <v>44</v>
      </c>
      <c r="C5" t="s">
        <v>45</v>
      </c>
      <c r="D5" s="13" t="s">
        <v>59</v>
      </c>
      <c r="E5" t="s">
        <v>56</v>
      </c>
      <c r="F5" t="s">
        <v>57</v>
      </c>
      <c r="G5" s="9">
        <v>708480000</v>
      </c>
      <c r="H5" s="9">
        <v>708427008</v>
      </c>
      <c r="I5" s="11">
        <v>100</v>
      </c>
      <c r="J5" t="s">
        <v>49</v>
      </c>
      <c r="K5" s="13" t="s">
        <v>50</v>
      </c>
      <c r="L5" s="15" t="s">
        <v>51</v>
      </c>
    </row>
    <row r="6" spans="1:12" ht="27">
      <c r="A6" s="4" t="s">
        <v>266</v>
      </c>
      <c r="B6" t="s">
        <v>44</v>
      </c>
      <c r="C6" t="s">
        <v>45</v>
      </c>
      <c r="D6" s="13" t="s">
        <v>267</v>
      </c>
      <c r="E6" t="s">
        <v>56</v>
      </c>
      <c r="F6" t="s">
        <v>48</v>
      </c>
      <c r="G6" s="9">
        <v>12000000</v>
      </c>
      <c r="H6" s="9">
        <v>0</v>
      </c>
      <c r="I6" s="11">
        <v>0</v>
      </c>
      <c r="J6" t="s">
        <v>49</v>
      </c>
      <c r="K6" s="13" t="s">
        <v>268</v>
      </c>
      <c r="L6" s="15" t="s">
        <v>265</v>
      </c>
    </row>
    <row r="7" spans="1:12" ht="40.5">
      <c r="A7" s="4" t="s">
        <v>327</v>
      </c>
      <c r="B7" t="s">
        <v>44</v>
      </c>
      <c r="C7" t="s">
        <v>45</v>
      </c>
      <c r="D7" s="13" t="s">
        <v>328</v>
      </c>
      <c r="E7" t="s">
        <v>56</v>
      </c>
      <c r="F7" t="s">
        <v>329</v>
      </c>
      <c r="G7" s="9">
        <v>304800000</v>
      </c>
      <c r="H7" s="9">
        <v>167378232</v>
      </c>
      <c r="I7" s="11">
        <v>55</v>
      </c>
      <c r="J7" t="s">
        <v>49</v>
      </c>
      <c r="K7" s="13" t="s">
        <v>330</v>
      </c>
      <c r="L7" s="15" t="s">
        <v>260</v>
      </c>
    </row>
    <row r="8" spans="1:12" ht="27">
      <c r="A8" s="4" t="s">
        <v>331</v>
      </c>
      <c r="B8" t="s">
        <v>44</v>
      </c>
      <c r="C8" t="s">
        <v>45</v>
      </c>
      <c r="D8" s="13" t="s">
        <v>332</v>
      </c>
      <c r="E8" t="s">
        <v>56</v>
      </c>
      <c r="F8" t="s">
        <v>329</v>
      </c>
      <c r="G8" s="9">
        <v>26400000</v>
      </c>
      <c r="H8" s="9">
        <v>26302294</v>
      </c>
      <c r="I8" s="11">
        <v>100</v>
      </c>
      <c r="J8" t="s">
        <v>49</v>
      </c>
      <c r="K8" s="13" t="s">
        <v>333</v>
      </c>
      <c r="L8" s="15" t="s">
        <v>260</v>
      </c>
    </row>
    <row r="9" spans="1:12" ht="27">
      <c r="A9" s="4" t="s">
        <v>387</v>
      </c>
      <c r="B9" t="s">
        <v>44</v>
      </c>
      <c r="C9" t="s">
        <v>45</v>
      </c>
      <c r="D9" s="13" t="s">
        <v>208</v>
      </c>
      <c r="E9" t="s">
        <v>56</v>
      </c>
      <c r="F9" t="s">
        <v>329</v>
      </c>
      <c r="G9" s="9">
        <v>12000000</v>
      </c>
      <c r="H9" s="9">
        <v>11955588</v>
      </c>
      <c r="I9" s="11">
        <v>100</v>
      </c>
      <c r="J9" t="s">
        <v>49</v>
      </c>
      <c r="K9" s="13" t="s">
        <v>388</v>
      </c>
      <c r="L9" s="15" t="s">
        <v>260</v>
      </c>
    </row>
    <row r="10" spans="1:12" ht="27">
      <c r="A10" s="4" t="s">
        <v>389</v>
      </c>
      <c r="B10" t="s">
        <v>44</v>
      </c>
      <c r="C10" t="s">
        <v>45</v>
      </c>
      <c r="D10" s="13" t="s">
        <v>390</v>
      </c>
      <c r="E10" t="s">
        <v>56</v>
      </c>
      <c r="F10" t="s">
        <v>329</v>
      </c>
      <c r="G10" s="9">
        <v>102200000</v>
      </c>
      <c r="H10" s="9">
        <v>96852384</v>
      </c>
      <c r="I10" s="11">
        <v>95</v>
      </c>
      <c r="J10" t="s">
        <v>49</v>
      </c>
      <c r="K10" s="13" t="s">
        <v>391</v>
      </c>
      <c r="L10" s="15" t="s">
        <v>260</v>
      </c>
    </row>
    <row r="11" spans="1:12" ht="27">
      <c r="A11" s="4" t="s">
        <v>401</v>
      </c>
      <c r="B11" t="s">
        <v>44</v>
      </c>
      <c r="C11" t="s">
        <v>45</v>
      </c>
      <c r="D11" s="13" t="s">
        <v>83</v>
      </c>
      <c r="E11" t="s">
        <v>56</v>
      </c>
      <c r="F11" t="s">
        <v>48</v>
      </c>
      <c r="G11" s="9">
        <v>438000000</v>
      </c>
      <c r="H11" s="9">
        <v>0</v>
      </c>
      <c r="I11" s="11">
        <v>0</v>
      </c>
      <c r="J11" t="s">
        <v>49</v>
      </c>
      <c r="K11" s="13" t="s">
        <v>402</v>
      </c>
      <c r="L11" s="15" t="s">
        <v>260</v>
      </c>
    </row>
    <row r="12" spans="1:12">
      <c r="A12" s="4" t="s">
        <v>525</v>
      </c>
      <c r="B12" t="s">
        <v>44</v>
      </c>
      <c r="C12" t="s">
        <v>45</v>
      </c>
      <c r="D12" s="13" t="s">
        <v>526</v>
      </c>
      <c r="E12" t="s">
        <v>56</v>
      </c>
      <c r="F12" t="s">
        <v>48</v>
      </c>
      <c r="G12" s="9">
        <v>462400000</v>
      </c>
      <c r="H12" s="9">
        <v>0</v>
      </c>
      <c r="I12" s="11">
        <v>0</v>
      </c>
      <c r="J12" t="s">
        <v>49</v>
      </c>
      <c r="K12" s="13" t="s">
        <v>527</v>
      </c>
      <c r="L12" s="15" t="s">
        <v>260</v>
      </c>
    </row>
    <row r="13" spans="1:12">
      <c r="A13" s="4" t="s">
        <v>541</v>
      </c>
      <c r="B13" t="s">
        <v>44</v>
      </c>
      <c r="C13" t="s">
        <v>45</v>
      </c>
      <c r="D13" s="13" t="s">
        <v>542</v>
      </c>
      <c r="E13" t="s">
        <v>56</v>
      </c>
      <c r="F13" t="s">
        <v>48</v>
      </c>
      <c r="G13" s="9">
        <v>330000000</v>
      </c>
      <c r="H13" s="9">
        <v>0</v>
      </c>
      <c r="I13" s="11">
        <v>0</v>
      </c>
      <c r="J13" t="s">
        <v>49</v>
      </c>
      <c r="K13" s="13" t="s">
        <v>527</v>
      </c>
      <c r="L13" s="15" t="s">
        <v>260</v>
      </c>
    </row>
    <row r="14" spans="1:12">
      <c r="A14" s="4" t="s">
        <v>606</v>
      </c>
      <c r="B14" t="s">
        <v>44</v>
      </c>
      <c r="C14" t="s">
        <v>45</v>
      </c>
      <c r="D14" s="13" t="s">
        <v>186</v>
      </c>
      <c r="E14" t="s">
        <v>56</v>
      </c>
      <c r="F14" t="s">
        <v>48</v>
      </c>
      <c r="G14" s="9">
        <v>11200000</v>
      </c>
      <c r="H14" s="9">
        <v>0</v>
      </c>
      <c r="I14" s="11">
        <v>0</v>
      </c>
      <c r="J14" t="s">
        <v>49</v>
      </c>
      <c r="K14" s="13" t="s">
        <v>527</v>
      </c>
      <c r="L14" s="15" t="s">
        <v>260</v>
      </c>
    </row>
    <row r="15" spans="1:12">
      <c r="A15" s="4" t="s">
        <v>607</v>
      </c>
      <c r="B15" t="s">
        <v>44</v>
      </c>
      <c r="C15" t="s">
        <v>45</v>
      </c>
      <c r="D15" s="13" t="s">
        <v>208</v>
      </c>
      <c r="E15" t="s">
        <v>56</v>
      </c>
      <c r="F15" t="s">
        <v>329</v>
      </c>
      <c r="G15" s="9">
        <v>9600000</v>
      </c>
      <c r="H15" s="9">
        <v>9564470</v>
      </c>
      <c r="I15" s="11">
        <v>100</v>
      </c>
      <c r="J15" t="s">
        <v>49</v>
      </c>
      <c r="K15" s="13" t="s">
        <v>527</v>
      </c>
      <c r="L15" s="15" t="s">
        <v>260</v>
      </c>
    </row>
    <row r="16" spans="1:12">
      <c r="A16" s="4" t="s">
        <v>608</v>
      </c>
      <c r="B16" t="s">
        <v>44</v>
      </c>
      <c r="C16" t="s">
        <v>45</v>
      </c>
      <c r="D16" s="13" t="s">
        <v>208</v>
      </c>
      <c r="E16" t="s">
        <v>56</v>
      </c>
      <c r="F16" t="s">
        <v>329</v>
      </c>
      <c r="G16" s="9">
        <v>7200000</v>
      </c>
      <c r="H16" s="9">
        <v>7173353</v>
      </c>
      <c r="I16" s="11">
        <v>100</v>
      </c>
      <c r="J16" t="s">
        <v>49</v>
      </c>
      <c r="K16" s="13" t="s">
        <v>527</v>
      </c>
      <c r="L16" s="15" t="s">
        <v>260</v>
      </c>
    </row>
    <row r="17" spans="1:12">
      <c r="A17" s="4" t="s">
        <v>647</v>
      </c>
      <c r="B17" t="s">
        <v>44</v>
      </c>
      <c r="C17" t="s">
        <v>45</v>
      </c>
      <c r="D17" s="13" t="s">
        <v>648</v>
      </c>
      <c r="E17" t="s">
        <v>56</v>
      </c>
      <c r="F17" t="s">
        <v>329</v>
      </c>
      <c r="G17" s="9">
        <v>22500000</v>
      </c>
      <c r="H17" s="9">
        <v>16375275</v>
      </c>
      <c r="I17" s="11">
        <v>73</v>
      </c>
      <c r="J17" t="s">
        <v>49</v>
      </c>
      <c r="K17" s="13" t="s">
        <v>527</v>
      </c>
      <c r="L17" s="15" t="s">
        <v>260</v>
      </c>
    </row>
    <row r="18" spans="1:12" ht="27">
      <c r="A18" s="4" t="s">
        <v>649</v>
      </c>
      <c r="B18" t="s">
        <v>44</v>
      </c>
      <c r="C18" t="s">
        <v>45</v>
      </c>
      <c r="D18" s="13" t="s">
        <v>650</v>
      </c>
      <c r="E18" t="s">
        <v>56</v>
      </c>
      <c r="F18" t="s">
        <v>57</v>
      </c>
      <c r="G18" s="9">
        <v>249600000</v>
      </c>
      <c r="H18" s="9">
        <v>81328190</v>
      </c>
      <c r="I18" s="11">
        <v>33</v>
      </c>
      <c r="J18" t="s">
        <v>49</v>
      </c>
      <c r="K18" s="13" t="s">
        <v>527</v>
      </c>
      <c r="L18" s="15" t="s">
        <v>260</v>
      </c>
    </row>
    <row r="19" spans="1:12" ht="27">
      <c r="A19" s="4" t="s">
        <v>691</v>
      </c>
      <c r="B19" t="s">
        <v>44</v>
      </c>
      <c r="C19" t="s">
        <v>45</v>
      </c>
      <c r="D19" s="13" t="s">
        <v>208</v>
      </c>
      <c r="E19" t="s">
        <v>56</v>
      </c>
      <c r="F19" t="s">
        <v>57</v>
      </c>
      <c r="G19" s="9">
        <v>12000000</v>
      </c>
      <c r="H19" s="9">
        <v>11960028</v>
      </c>
      <c r="I19" s="11">
        <v>100</v>
      </c>
      <c r="J19" t="s">
        <v>49</v>
      </c>
      <c r="K19" s="13" t="s">
        <v>692</v>
      </c>
      <c r="L19" s="15" t="s">
        <v>260</v>
      </c>
    </row>
    <row r="20" spans="1:12" ht="27">
      <c r="A20" s="4" t="s">
        <v>701</v>
      </c>
      <c r="B20" t="s">
        <v>44</v>
      </c>
      <c r="C20" t="s">
        <v>45</v>
      </c>
      <c r="D20" s="13" t="s">
        <v>208</v>
      </c>
      <c r="E20" t="s">
        <v>56</v>
      </c>
      <c r="F20" t="s">
        <v>48</v>
      </c>
      <c r="G20" s="9">
        <v>16800000</v>
      </c>
      <c r="H20" s="9">
        <v>0</v>
      </c>
      <c r="I20" s="11">
        <v>0</v>
      </c>
      <c r="J20" t="s">
        <v>49</v>
      </c>
      <c r="K20" s="13" t="s">
        <v>692</v>
      </c>
      <c r="L20" s="15" t="s">
        <v>260</v>
      </c>
    </row>
    <row r="21" spans="1:12" ht="40.5">
      <c r="A21" s="4" t="s">
        <v>710</v>
      </c>
      <c r="B21" t="s">
        <v>44</v>
      </c>
      <c r="C21" t="s">
        <v>711</v>
      </c>
      <c r="D21" s="13" t="s">
        <v>712</v>
      </c>
      <c r="E21" t="s">
        <v>47</v>
      </c>
      <c r="F21" t="s">
        <v>84</v>
      </c>
      <c r="G21" s="9">
        <v>0</v>
      </c>
      <c r="H21" s="9">
        <v>159192761.99000001</v>
      </c>
      <c r="I21" s="11">
        <v>0</v>
      </c>
      <c r="J21" t="s">
        <v>713</v>
      </c>
      <c r="K21" s="13" t="s">
        <v>260</v>
      </c>
      <c r="L21" s="15" t="s">
        <v>260</v>
      </c>
    </row>
    <row r="22" spans="1:12">
      <c r="A22" s="4" t="s">
        <v>43</v>
      </c>
      <c r="B22" t="s">
        <v>44</v>
      </c>
      <c r="C22" t="s">
        <v>45</v>
      </c>
      <c r="D22" s="13" t="s">
        <v>46</v>
      </c>
      <c r="E22" t="s">
        <v>47</v>
      </c>
      <c r="F22" t="s">
        <v>48</v>
      </c>
      <c r="G22" s="9">
        <v>3000000</v>
      </c>
      <c r="H22" s="9">
        <v>0</v>
      </c>
      <c r="I22" s="11">
        <v>0</v>
      </c>
      <c r="J22" t="s">
        <v>49</v>
      </c>
      <c r="K22" s="13" t="s">
        <v>50</v>
      </c>
      <c r="L22" s="15" t="s">
        <v>51</v>
      </c>
    </row>
    <row r="23" spans="1:12" ht="27">
      <c r="A23" s="4" t="s">
        <v>60</v>
      </c>
      <c r="B23" t="s">
        <v>44</v>
      </c>
      <c r="C23" t="s">
        <v>45</v>
      </c>
      <c r="D23" s="13" t="s">
        <v>724</v>
      </c>
      <c r="E23" t="s">
        <v>47</v>
      </c>
      <c r="F23" t="s">
        <v>48</v>
      </c>
      <c r="G23" s="9">
        <v>35700000</v>
      </c>
      <c r="H23" s="9">
        <v>0</v>
      </c>
      <c r="I23" s="11">
        <v>0</v>
      </c>
      <c r="J23" t="s">
        <v>49</v>
      </c>
      <c r="K23" s="13" t="s">
        <v>62</v>
      </c>
      <c r="L23" s="15" t="s">
        <v>63</v>
      </c>
    </row>
    <row r="24" spans="1:12" ht="27">
      <c r="A24" s="4" t="s">
        <v>66</v>
      </c>
      <c r="B24" t="s">
        <v>44</v>
      </c>
      <c r="C24" t="s">
        <v>45</v>
      </c>
      <c r="D24" s="13" t="s">
        <v>67</v>
      </c>
      <c r="E24" t="s">
        <v>47</v>
      </c>
      <c r="F24" t="s">
        <v>48</v>
      </c>
      <c r="G24" s="9">
        <v>35700000</v>
      </c>
      <c r="H24" s="9">
        <v>0</v>
      </c>
      <c r="I24" s="11">
        <v>0</v>
      </c>
      <c r="J24" t="s">
        <v>49</v>
      </c>
      <c r="K24" s="13" t="s">
        <v>62</v>
      </c>
      <c r="L24" s="15" t="s">
        <v>63</v>
      </c>
    </row>
    <row r="25" spans="1:12" ht="27">
      <c r="A25" s="4" t="s">
        <v>68</v>
      </c>
      <c r="B25" t="s">
        <v>44</v>
      </c>
      <c r="C25" t="s">
        <v>45</v>
      </c>
      <c r="D25" s="13" t="s">
        <v>69</v>
      </c>
      <c r="E25" t="s">
        <v>47</v>
      </c>
      <c r="F25" t="s">
        <v>48</v>
      </c>
      <c r="G25" s="9">
        <v>45900000</v>
      </c>
      <c r="H25" s="9">
        <v>0</v>
      </c>
      <c r="I25" s="11">
        <v>0</v>
      </c>
      <c r="J25" t="s">
        <v>49</v>
      </c>
      <c r="K25" s="13" t="s">
        <v>70</v>
      </c>
      <c r="L25" s="15" t="s">
        <v>63</v>
      </c>
    </row>
    <row r="26" spans="1:12" ht="27">
      <c r="A26" s="4" t="s">
        <v>71</v>
      </c>
      <c r="B26" t="s">
        <v>44</v>
      </c>
      <c r="C26" t="s">
        <v>45</v>
      </c>
      <c r="D26" s="13" t="s">
        <v>72</v>
      </c>
      <c r="E26" t="s">
        <v>47</v>
      </c>
      <c r="F26" t="s">
        <v>48</v>
      </c>
      <c r="G26" s="9">
        <v>20400000</v>
      </c>
      <c r="H26" s="9">
        <v>0</v>
      </c>
      <c r="I26" s="11">
        <v>0</v>
      </c>
      <c r="J26" t="s">
        <v>49</v>
      </c>
      <c r="K26" s="13" t="s">
        <v>73</v>
      </c>
      <c r="L26" s="15" t="s">
        <v>63</v>
      </c>
    </row>
    <row r="27" spans="1:12" ht="27">
      <c r="A27" s="4" t="s">
        <v>74</v>
      </c>
      <c r="B27" t="s">
        <v>44</v>
      </c>
      <c r="C27" t="s">
        <v>45</v>
      </c>
      <c r="D27" s="13" t="s">
        <v>75</v>
      </c>
      <c r="E27" t="s">
        <v>47</v>
      </c>
      <c r="F27" t="s">
        <v>48</v>
      </c>
      <c r="G27" s="9">
        <v>9000000</v>
      </c>
      <c r="H27" s="9">
        <v>0</v>
      </c>
      <c r="I27" s="11">
        <v>0</v>
      </c>
      <c r="J27" t="s">
        <v>49</v>
      </c>
      <c r="K27" s="13" t="s">
        <v>76</v>
      </c>
      <c r="L27" s="15" t="s">
        <v>63</v>
      </c>
    </row>
    <row r="28" spans="1:12" ht="27">
      <c r="A28" s="4" t="s">
        <v>77</v>
      </c>
      <c r="B28" t="s">
        <v>44</v>
      </c>
      <c r="C28" t="s">
        <v>45</v>
      </c>
      <c r="D28" s="13" t="s">
        <v>78</v>
      </c>
      <c r="E28" t="s">
        <v>47</v>
      </c>
      <c r="F28" t="s">
        <v>48</v>
      </c>
      <c r="G28" s="9">
        <v>9000000</v>
      </c>
      <c r="H28" s="9">
        <v>0</v>
      </c>
      <c r="I28" s="11">
        <v>0</v>
      </c>
      <c r="J28" t="s">
        <v>49</v>
      </c>
      <c r="K28" s="13" t="s">
        <v>76</v>
      </c>
      <c r="L28" s="15" t="s">
        <v>63</v>
      </c>
    </row>
    <row r="29" spans="1:12" ht="27">
      <c r="A29" s="4" t="s">
        <v>79</v>
      </c>
      <c r="B29" t="s">
        <v>44</v>
      </c>
      <c r="C29" t="s">
        <v>45</v>
      </c>
      <c r="D29" s="13" t="s">
        <v>80</v>
      </c>
      <c r="E29" t="s">
        <v>47</v>
      </c>
      <c r="F29" t="s">
        <v>48</v>
      </c>
      <c r="G29" s="9">
        <v>250000</v>
      </c>
      <c r="H29" s="9">
        <v>0</v>
      </c>
      <c r="I29" s="11">
        <v>0</v>
      </c>
      <c r="J29" t="s">
        <v>49</v>
      </c>
      <c r="K29" s="13" t="s">
        <v>81</v>
      </c>
      <c r="L29" s="15" t="s">
        <v>63</v>
      </c>
    </row>
    <row r="30" spans="1:12" ht="27">
      <c r="A30" s="4" t="s">
        <v>82</v>
      </c>
      <c r="B30" t="s">
        <v>44</v>
      </c>
      <c r="C30" t="s">
        <v>45</v>
      </c>
      <c r="D30" s="13" t="s">
        <v>83</v>
      </c>
      <c r="E30" t="s">
        <v>47</v>
      </c>
      <c r="F30" t="s">
        <v>48</v>
      </c>
      <c r="G30" s="9">
        <v>15000000</v>
      </c>
      <c r="H30" s="9">
        <v>0</v>
      </c>
      <c r="I30" s="11">
        <v>0</v>
      </c>
      <c r="J30" t="s">
        <v>49</v>
      </c>
      <c r="K30" s="13" t="s">
        <v>85</v>
      </c>
      <c r="L30" s="15" t="s">
        <v>63</v>
      </c>
    </row>
    <row r="31" spans="1:12" ht="27">
      <c r="A31" s="4" t="s">
        <v>87</v>
      </c>
      <c r="B31" t="s">
        <v>44</v>
      </c>
      <c r="C31" t="s">
        <v>45</v>
      </c>
      <c r="D31" s="13" t="s">
        <v>80</v>
      </c>
      <c r="E31" t="s">
        <v>47</v>
      </c>
      <c r="F31" t="s">
        <v>48</v>
      </c>
      <c r="G31" s="9">
        <v>150000</v>
      </c>
      <c r="H31" s="9">
        <v>0</v>
      </c>
      <c r="I31" s="11">
        <v>0</v>
      </c>
      <c r="J31" t="s">
        <v>49</v>
      </c>
      <c r="K31" s="13" t="s">
        <v>88</v>
      </c>
      <c r="L31" s="15" t="s">
        <v>63</v>
      </c>
    </row>
    <row r="32" spans="1:12" ht="27">
      <c r="A32" s="4" t="s">
        <v>89</v>
      </c>
      <c r="B32" t="s">
        <v>44</v>
      </c>
      <c r="C32" t="s">
        <v>45</v>
      </c>
      <c r="D32" s="13" t="s">
        <v>80</v>
      </c>
      <c r="E32" t="s">
        <v>47</v>
      </c>
      <c r="F32" t="s">
        <v>48</v>
      </c>
      <c r="G32" s="9">
        <v>500000</v>
      </c>
      <c r="H32" s="9">
        <v>0</v>
      </c>
      <c r="I32" s="11">
        <v>0</v>
      </c>
      <c r="J32" t="s">
        <v>49</v>
      </c>
      <c r="K32" s="13" t="s">
        <v>90</v>
      </c>
      <c r="L32" s="15" t="s">
        <v>63</v>
      </c>
    </row>
    <row r="33" spans="1:12" ht="27">
      <c r="A33" s="4" t="s">
        <v>91</v>
      </c>
      <c r="B33" t="s">
        <v>44</v>
      </c>
      <c r="C33" t="s">
        <v>45</v>
      </c>
      <c r="D33" s="13" t="s">
        <v>92</v>
      </c>
      <c r="E33" t="s">
        <v>47</v>
      </c>
      <c r="F33" t="s">
        <v>48</v>
      </c>
      <c r="G33" s="9">
        <v>12160000</v>
      </c>
      <c r="H33" s="9">
        <v>0</v>
      </c>
      <c r="I33" s="11">
        <v>0</v>
      </c>
      <c r="J33" t="s">
        <v>49</v>
      </c>
      <c r="K33" s="13" t="s">
        <v>93</v>
      </c>
      <c r="L33" s="15" t="s">
        <v>63</v>
      </c>
    </row>
    <row r="34" spans="1:12" ht="27">
      <c r="A34" s="4" t="s">
        <v>96</v>
      </c>
      <c r="B34" t="s">
        <v>44</v>
      </c>
      <c r="C34" t="s">
        <v>45</v>
      </c>
      <c r="D34" s="13" t="s">
        <v>97</v>
      </c>
      <c r="E34" t="s">
        <v>47</v>
      </c>
      <c r="F34" t="s">
        <v>48</v>
      </c>
      <c r="G34" s="9">
        <v>26000000</v>
      </c>
      <c r="H34" s="9">
        <v>0</v>
      </c>
      <c r="I34" s="11">
        <v>0</v>
      </c>
      <c r="J34" t="s">
        <v>49</v>
      </c>
      <c r="K34" s="13" t="s">
        <v>98</v>
      </c>
      <c r="L34" s="15" t="s">
        <v>63</v>
      </c>
    </row>
    <row r="35" spans="1:12" ht="27">
      <c r="A35" s="4" t="s">
        <v>714</v>
      </c>
      <c r="B35" t="s">
        <v>44</v>
      </c>
      <c r="C35" t="s">
        <v>45</v>
      </c>
      <c r="D35" s="13" t="s">
        <v>97</v>
      </c>
      <c r="E35" t="s">
        <v>47</v>
      </c>
      <c r="F35" t="s">
        <v>84</v>
      </c>
      <c r="G35" s="9">
        <v>26000000</v>
      </c>
      <c r="H35" s="9">
        <v>50741319</v>
      </c>
      <c r="I35" s="11">
        <v>195</v>
      </c>
      <c r="J35" t="s">
        <v>49</v>
      </c>
      <c r="K35" s="13" t="s">
        <v>98</v>
      </c>
      <c r="L35" s="15" t="s">
        <v>63</v>
      </c>
    </row>
    <row r="36" spans="1:12" ht="27">
      <c r="A36" s="4" t="s">
        <v>99</v>
      </c>
      <c r="B36" t="s">
        <v>44</v>
      </c>
      <c r="C36" t="s">
        <v>45</v>
      </c>
      <c r="D36" s="13" t="s">
        <v>100</v>
      </c>
      <c r="E36" t="s">
        <v>47</v>
      </c>
      <c r="F36" t="s">
        <v>48</v>
      </c>
      <c r="G36" s="9">
        <v>11200000</v>
      </c>
      <c r="H36" s="9">
        <v>0</v>
      </c>
      <c r="I36" s="11">
        <v>0</v>
      </c>
      <c r="J36" t="s">
        <v>49</v>
      </c>
      <c r="K36" s="13" t="s">
        <v>101</v>
      </c>
      <c r="L36" s="15" t="s">
        <v>63</v>
      </c>
    </row>
    <row r="37" spans="1:12" ht="27">
      <c r="A37" s="4" t="s">
        <v>102</v>
      </c>
      <c r="B37" t="s">
        <v>44</v>
      </c>
      <c r="C37" t="s">
        <v>45</v>
      </c>
      <c r="D37" s="13" t="s">
        <v>92</v>
      </c>
      <c r="E37" t="s">
        <v>47</v>
      </c>
      <c r="F37" t="s">
        <v>48</v>
      </c>
      <c r="G37" s="9">
        <v>44800000</v>
      </c>
      <c r="H37" s="9">
        <v>0</v>
      </c>
      <c r="I37" s="11">
        <v>0</v>
      </c>
      <c r="J37" t="s">
        <v>49</v>
      </c>
      <c r="K37" s="13" t="s">
        <v>103</v>
      </c>
      <c r="L37" s="15" t="s">
        <v>63</v>
      </c>
    </row>
    <row r="38" spans="1:12" ht="27">
      <c r="A38" s="4" t="s">
        <v>104</v>
      </c>
      <c r="B38" t="s">
        <v>44</v>
      </c>
      <c r="C38" t="s">
        <v>45</v>
      </c>
      <c r="D38" s="13" t="s">
        <v>105</v>
      </c>
      <c r="E38" t="s">
        <v>47</v>
      </c>
      <c r="F38" t="s">
        <v>48</v>
      </c>
      <c r="G38" s="9">
        <v>1120000</v>
      </c>
      <c r="H38" s="9">
        <v>0</v>
      </c>
      <c r="I38" s="11">
        <v>0</v>
      </c>
      <c r="J38" t="s">
        <v>49</v>
      </c>
      <c r="K38" s="13" t="s">
        <v>106</v>
      </c>
      <c r="L38" s="15" t="s">
        <v>63</v>
      </c>
    </row>
    <row r="39" spans="1:12" ht="27">
      <c r="A39" s="4" t="s">
        <v>107</v>
      </c>
      <c r="B39" t="s">
        <v>44</v>
      </c>
      <c r="C39" t="s">
        <v>45</v>
      </c>
      <c r="D39" s="13" t="s">
        <v>108</v>
      </c>
      <c r="E39" t="s">
        <v>47</v>
      </c>
      <c r="F39" t="s">
        <v>48</v>
      </c>
      <c r="G39" s="9">
        <v>7000000</v>
      </c>
      <c r="H39" s="9">
        <v>0</v>
      </c>
      <c r="I39" s="11">
        <v>0</v>
      </c>
      <c r="J39" t="s">
        <v>49</v>
      </c>
      <c r="K39" s="13" t="s">
        <v>109</v>
      </c>
      <c r="L39" s="15" t="s">
        <v>63</v>
      </c>
    </row>
    <row r="40" spans="1:12" ht="27">
      <c r="A40" s="4" t="s">
        <v>110</v>
      </c>
      <c r="B40" t="s">
        <v>44</v>
      </c>
      <c r="C40" t="s">
        <v>45</v>
      </c>
      <c r="D40" s="13" t="s">
        <v>80</v>
      </c>
      <c r="E40" t="s">
        <v>47</v>
      </c>
      <c r="F40" t="s">
        <v>48</v>
      </c>
      <c r="G40" s="9">
        <v>1750000</v>
      </c>
      <c r="H40" s="9">
        <v>0</v>
      </c>
      <c r="I40" s="11">
        <v>0</v>
      </c>
      <c r="J40" t="s">
        <v>49</v>
      </c>
      <c r="K40" s="13" t="s">
        <v>111</v>
      </c>
      <c r="L40" s="15" t="s">
        <v>63</v>
      </c>
    </row>
    <row r="41" spans="1:12" ht="40.5">
      <c r="A41" s="4" t="s">
        <v>112</v>
      </c>
      <c r="B41" t="s">
        <v>44</v>
      </c>
      <c r="C41" t="s">
        <v>45</v>
      </c>
      <c r="D41" s="13" t="s">
        <v>80</v>
      </c>
      <c r="E41" t="s">
        <v>47</v>
      </c>
      <c r="F41" t="s">
        <v>48</v>
      </c>
      <c r="G41" s="9">
        <v>75000</v>
      </c>
      <c r="H41" s="9">
        <v>0</v>
      </c>
      <c r="I41" s="11">
        <v>0</v>
      </c>
      <c r="J41" t="s">
        <v>49</v>
      </c>
      <c r="K41" s="13" t="s">
        <v>113</v>
      </c>
      <c r="L41" s="15" t="s">
        <v>63</v>
      </c>
    </row>
    <row r="42" spans="1:12" ht="27">
      <c r="A42" s="4" t="s">
        <v>114</v>
      </c>
      <c r="B42" t="s">
        <v>44</v>
      </c>
      <c r="C42" t="s">
        <v>45</v>
      </c>
      <c r="D42" s="13" t="s">
        <v>115</v>
      </c>
      <c r="E42" t="s">
        <v>47</v>
      </c>
      <c r="F42" t="s">
        <v>48</v>
      </c>
      <c r="G42" s="9">
        <v>18850000</v>
      </c>
      <c r="H42" s="9">
        <v>0</v>
      </c>
      <c r="I42" s="11">
        <v>0</v>
      </c>
      <c r="J42" t="s">
        <v>49</v>
      </c>
      <c r="K42" s="13" t="s">
        <v>116</v>
      </c>
      <c r="L42" s="15" t="s">
        <v>63</v>
      </c>
    </row>
    <row r="43" spans="1:12" ht="27">
      <c r="A43" s="4" t="s">
        <v>117</v>
      </c>
      <c r="B43" t="s">
        <v>44</v>
      </c>
      <c r="C43" t="s">
        <v>45</v>
      </c>
      <c r="D43" s="13" t="s">
        <v>118</v>
      </c>
      <c r="E43" t="s">
        <v>47</v>
      </c>
      <c r="F43" t="s">
        <v>48</v>
      </c>
      <c r="G43" s="9">
        <v>12000000</v>
      </c>
      <c r="H43" s="9">
        <v>0</v>
      </c>
      <c r="I43" s="11">
        <v>0</v>
      </c>
      <c r="J43" t="s">
        <v>49</v>
      </c>
      <c r="K43" s="13" t="s">
        <v>119</v>
      </c>
      <c r="L43" s="15" t="s">
        <v>63</v>
      </c>
    </row>
    <row r="44" spans="1:12" ht="27">
      <c r="A44" s="4" t="s">
        <v>120</v>
      </c>
      <c r="B44" t="s">
        <v>44</v>
      </c>
      <c r="C44" t="s">
        <v>45</v>
      </c>
      <c r="D44" s="13" t="s">
        <v>75</v>
      </c>
      <c r="E44" t="s">
        <v>47</v>
      </c>
      <c r="F44" t="s">
        <v>48</v>
      </c>
      <c r="G44" s="9">
        <v>1000000</v>
      </c>
      <c r="H44" s="9">
        <v>0</v>
      </c>
      <c r="I44" s="11">
        <v>0</v>
      </c>
      <c r="J44" t="s">
        <v>49</v>
      </c>
      <c r="K44" s="13" t="s">
        <v>121</v>
      </c>
      <c r="L44" s="15" t="s">
        <v>63</v>
      </c>
    </row>
    <row r="45" spans="1:12" ht="27">
      <c r="A45" s="4" t="s">
        <v>122</v>
      </c>
      <c r="B45" t="s">
        <v>44</v>
      </c>
      <c r="C45" t="s">
        <v>45</v>
      </c>
      <c r="D45" s="13" t="s">
        <v>105</v>
      </c>
      <c r="E45" t="s">
        <v>47</v>
      </c>
      <c r="F45" t="s">
        <v>48</v>
      </c>
      <c r="G45" s="9">
        <v>80000</v>
      </c>
      <c r="H45" s="9">
        <v>0</v>
      </c>
      <c r="I45" s="11">
        <v>0</v>
      </c>
      <c r="J45" t="s">
        <v>49</v>
      </c>
      <c r="K45" s="13" t="s">
        <v>123</v>
      </c>
      <c r="L45" s="15" t="s">
        <v>63</v>
      </c>
    </row>
    <row r="46" spans="1:12" ht="27">
      <c r="A46" s="4" t="s">
        <v>124</v>
      </c>
      <c r="B46" t="s">
        <v>44</v>
      </c>
      <c r="C46" t="s">
        <v>45</v>
      </c>
      <c r="D46" s="13" t="s">
        <v>125</v>
      </c>
      <c r="E46" t="s">
        <v>47</v>
      </c>
      <c r="F46" t="s">
        <v>48</v>
      </c>
      <c r="G46" s="9">
        <v>2250000</v>
      </c>
      <c r="H46" s="9">
        <v>0</v>
      </c>
      <c r="I46" s="11">
        <v>0</v>
      </c>
      <c r="J46" t="s">
        <v>49</v>
      </c>
      <c r="K46" s="13" t="s">
        <v>126</v>
      </c>
      <c r="L46" s="15" t="s">
        <v>63</v>
      </c>
    </row>
    <row r="47" spans="1:12" ht="27">
      <c r="A47" s="4" t="s">
        <v>127</v>
      </c>
      <c r="B47" t="s">
        <v>44</v>
      </c>
      <c r="C47" t="s">
        <v>45</v>
      </c>
      <c r="D47" s="13" t="s">
        <v>128</v>
      </c>
      <c r="E47" t="s">
        <v>47</v>
      </c>
      <c r="F47" t="s">
        <v>48</v>
      </c>
      <c r="G47" s="9">
        <v>2250000</v>
      </c>
      <c r="H47" s="9">
        <v>0</v>
      </c>
      <c r="I47" s="11">
        <v>0</v>
      </c>
      <c r="J47" t="s">
        <v>49</v>
      </c>
      <c r="K47" s="13" t="s">
        <v>126</v>
      </c>
      <c r="L47" s="15" t="s">
        <v>63</v>
      </c>
    </row>
    <row r="48" spans="1:12" ht="27">
      <c r="A48" s="4" t="s">
        <v>129</v>
      </c>
      <c r="B48" t="s">
        <v>44</v>
      </c>
      <c r="C48" t="s">
        <v>45</v>
      </c>
      <c r="D48" s="13" t="s">
        <v>130</v>
      </c>
      <c r="E48" t="s">
        <v>47</v>
      </c>
      <c r="F48" t="s">
        <v>48</v>
      </c>
      <c r="G48" s="9">
        <v>840000</v>
      </c>
      <c r="H48" s="9">
        <v>0</v>
      </c>
      <c r="I48" s="11">
        <v>0</v>
      </c>
      <c r="J48" t="s">
        <v>49</v>
      </c>
      <c r="K48" s="13" t="s">
        <v>131</v>
      </c>
      <c r="L48" s="15" t="s">
        <v>63</v>
      </c>
    </row>
    <row r="49" spans="1:12" ht="27">
      <c r="A49" s="4" t="s">
        <v>132</v>
      </c>
      <c r="B49" t="s">
        <v>44</v>
      </c>
      <c r="C49" t="s">
        <v>45</v>
      </c>
      <c r="D49" s="13" t="s">
        <v>75</v>
      </c>
      <c r="E49" t="s">
        <v>47</v>
      </c>
      <c r="F49" t="s">
        <v>48</v>
      </c>
      <c r="G49" s="9">
        <v>300000</v>
      </c>
      <c r="H49" s="9">
        <v>0</v>
      </c>
      <c r="I49" s="11">
        <v>0</v>
      </c>
      <c r="J49" t="s">
        <v>49</v>
      </c>
      <c r="K49" s="13" t="s">
        <v>133</v>
      </c>
      <c r="L49" s="15" t="s">
        <v>63</v>
      </c>
    </row>
    <row r="50" spans="1:12" ht="27">
      <c r="A50" s="4" t="s">
        <v>134</v>
      </c>
      <c r="B50" t="s">
        <v>44</v>
      </c>
      <c r="C50" t="s">
        <v>45</v>
      </c>
      <c r="D50" s="13" t="s">
        <v>135</v>
      </c>
      <c r="E50" t="s">
        <v>47</v>
      </c>
      <c r="F50" t="s">
        <v>48</v>
      </c>
      <c r="G50" s="9">
        <v>300000</v>
      </c>
      <c r="H50" s="9">
        <v>0</v>
      </c>
      <c r="I50" s="11">
        <v>0</v>
      </c>
      <c r="J50" t="s">
        <v>49</v>
      </c>
      <c r="K50" s="13" t="s">
        <v>133</v>
      </c>
      <c r="L50" s="15" t="s">
        <v>63</v>
      </c>
    </row>
    <row r="51" spans="1:12" ht="27">
      <c r="A51" s="4" t="s">
        <v>136</v>
      </c>
      <c r="B51" t="s">
        <v>44</v>
      </c>
      <c r="C51" t="s">
        <v>45</v>
      </c>
      <c r="D51" s="13" t="s">
        <v>80</v>
      </c>
      <c r="E51" t="s">
        <v>47</v>
      </c>
      <c r="F51" t="s">
        <v>48</v>
      </c>
      <c r="G51" s="9">
        <v>207000</v>
      </c>
      <c r="H51" s="9">
        <v>0</v>
      </c>
      <c r="I51" s="11">
        <v>0</v>
      </c>
      <c r="J51" t="s">
        <v>49</v>
      </c>
      <c r="K51" s="13" t="s">
        <v>137</v>
      </c>
      <c r="L51" s="15" t="s">
        <v>63</v>
      </c>
    </row>
    <row r="52" spans="1:12" ht="27">
      <c r="A52" s="4" t="s">
        <v>138</v>
      </c>
      <c r="B52" t="s">
        <v>44</v>
      </c>
      <c r="C52" t="s">
        <v>45</v>
      </c>
      <c r="D52" s="13" t="s">
        <v>78</v>
      </c>
      <c r="E52" t="s">
        <v>47</v>
      </c>
      <c r="F52" t="s">
        <v>48</v>
      </c>
      <c r="G52" s="9">
        <v>300000</v>
      </c>
      <c r="H52" s="9">
        <v>0</v>
      </c>
      <c r="I52" s="11">
        <v>0</v>
      </c>
      <c r="J52" t="s">
        <v>49</v>
      </c>
      <c r="K52" s="13" t="s">
        <v>133</v>
      </c>
      <c r="L52" s="15" t="s">
        <v>63</v>
      </c>
    </row>
    <row r="53" spans="1:12" ht="27">
      <c r="A53" s="4" t="s">
        <v>139</v>
      </c>
      <c r="B53" t="s">
        <v>44</v>
      </c>
      <c r="C53" t="s">
        <v>45</v>
      </c>
      <c r="D53" s="13" t="s">
        <v>140</v>
      </c>
      <c r="E53" t="s">
        <v>47</v>
      </c>
      <c r="F53" t="s">
        <v>48</v>
      </c>
      <c r="G53" s="9">
        <v>200000</v>
      </c>
      <c r="H53" s="9">
        <v>0</v>
      </c>
      <c r="I53" s="11">
        <v>0</v>
      </c>
      <c r="J53" t="s">
        <v>49</v>
      </c>
      <c r="K53" s="13" t="s">
        <v>141</v>
      </c>
      <c r="L53" s="15" t="s">
        <v>63</v>
      </c>
    </row>
    <row r="54" spans="1:12" ht="27">
      <c r="A54" s="4" t="s">
        <v>142</v>
      </c>
      <c r="B54" t="s">
        <v>44</v>
      </c>
      <c r="C54" t="s">
        <v>45</v>
      </c>
      <c r="D54" s="13" t="s">
        <v>143</v>
      </c>
      <c r="E54" t="s">
        <v>47</v>
      </c>
      <c r="F54" t="s">
        <v>48</v>
      </c>
      <c r="G54" s="9">
        <v>1000000</v>
      </c>
      <c r="H54" s="9">
        <v>0</v>
      </c>
      <c r="I54" s="11">
        <v>0</v>
      </c>
      <c r="J54" t="s">
        <v>49</v>
      </c>
      <c r="K54" s="13" t="s">
        <v>121</v>
      </c>
      <c r="L54" s="15" t="s">
        <v>63</v>
      </c>
    </row>
    <row r="55" spans="1:12" ht="27">
      <c r="A55" s="4" t="s">
        <v>144</v>
      </c>
      <c r="B55" t="s">
        <v>44</v>
      </c>
      <c r="C55" t="s">
        <v>45</v>
      </c>
      <c r="D55" s="13" t="s">
        <v>145</v>
      </c>
      <c r="E55" t="s">
        <v>47</v>
      </c>
      <c r="F55" t="s">
        <v>48</v>
      </c>
      <c r="G55" s="9">
        <v>2250000</v>
      </c>
      <c r="H55" s="9">
        <v>0</v>
      </c>
      <c r="I55" s="11">
        <v>0</v>
      </c>
      <c r="J55" t="s">
        <v>49</v>
      </c>
      <c r="K55" s="13" t="s">
        <v>126</v>
      </c>
      <c r="L55" s="15" t="s">
        <v>63</v>
      </c>
    </row>
    <row r="56" spans="1:12" ht="27">
      <c r="A56" s="4" t="s">
        <v>146</v>
      </c>
      <c r="B56" t="s">
        <v>44</v>
      </c>
      <c r="C56" t="s">
        <v>45</v>
      </c>
      <c r="D56" s="13" t="s">
        <v>147</v>
      </c>
      <c r="E56" t="s">
        <v>47</v>
      </c>
      <c r="F56" t="s">
        <v>48</v>
      </c>
      <c r="G56" s="9">
        <v>2100000</v>
      </c>
      <c r="H56" s="9">
        <v>0</v>
      </c>
      <c r="I56" s="11">
        <v>0</v>
      </c>
      <c r="J56" t="s">
        <v>49</v>
      </c>
      <c r="K56" s="13" t="s">
        <v>148</v>
      </c>
      <c r="L56" s="15" t="s">
        <v>63</v>
      </c>
    </row>
    <row r="57" spans="1:12" ht="27">
      <c r="A57" s="4" t="s">
        <v>149</v>
      </c>
      <c r="B57" t="s">
        <v>44</v>
      </c>
      <c r="C57" t="s">
        <v>45</v>
      </c>
      <c r="D57" s="13" t="s">
        <v>75</v>
      </c>
      <c r="E57" t="s">
        <v>47</v>
      </c>
      <c r="F57" t="s">
        <v>48</v>
      </c>
      <c r="G57" s="9">
        <v>375000</v>
      </c>
      <c r="H57" s="9">
        <v>0</v>
      </c>
      <c r="I57" s="11">
        <v>0</v>
      </c>
      <c r="J57" t="s">
        <v>49</v>
      </c>
      <c r="K57" s="13" t="s">
        <v>150</v>
      </c>
      <c r="L57" s="15" t="s">
        <v>63</v>
      </c>
    </row>
    <row r="58" spans="1:12" ht="27">
      <c r="A58" s="4" t="s">
        <v>151</v>
      </c>
      <c r="B58" t="s">
        <v>44</v>
      </c>
      <c r="C58" t="s">
        <v>45</v>
      </c>
      <c r="D58" s="13" t="s">
        <v>147</v>
      </c>
      <c r="E58" t="s">
        <v>47</v>
      </c>
      <c r="F58" t="s">
        <v>48</v>
      </c>
      <c r="G58" s="9">
        <v>371000</v>
      </c>
      <c r="H58" s="9">
        <v>0</v>
      </c>
      <c r="I58" s="11">
        <v>0</v>
      </c>
      <c r="J58" t="s">
        <v>49</v>
      </c>
      <c r="K58" s="13" t="s">
        <v>152</v>
      </c>
      <c r="L58" s="15" t="s">
        <v>63</v>
      </c>
    </row>
    <row r="59" spans="1:12" ht="27">
      <c r="A59" s="4" t="s">
        <v>153</v>
      </c>
      <c r="B59" t="s">
        <v>44</v>
      </c>
      <c r="C59" t="s">
        <v>45</v>
      </c>
      <c r="D59" s="13" t="s">
        <v>80</v>
      </c>
      <c r="E59" t="s">
        <v>47</v>
      </c>
      <c r="F59" t="s">
        <v>48</v>
      </c>
      <c r="G59" s="9">
        <v>110000</v>
      </c>
      <c r="H59" s="9">
        <v>0</v>
      </c>
      <c r="I59" s="11">
        <v>0</v>
      </c>
      <c r="J59" t="s">
        <v>49</v>
      </c>
      <c r="K59" s="13" t="s">
        <v>154</v>
      </c>
      <c r="L59" s="15" t="s">
        <v>63</v>
      </c>
    </row>
    <row r="60" spans="1:12" ht="27">
      <c r="A60" s="4" t="s">
        <v>155</v>
      </c>
      <c r="B60" t="s">
        <v>44</v>
      </c>
      <c r="C60" t="s">
        <v>45</v>
      </c>
      <c r="D60" s="13" t="s">
        <v>130</v>
      </c>
      <c r="E60" t="s">
        <v>47</v>
      </c>
      <c r="F60" t="s">
        <v>48</v>
      </c>
      <c r="G60" s="9">
        <v>154000</v>
      </c>
      <c r="H60" s="9">
        <v>0</v>
      </c>
      <c r="I60" s="11">
        <v>0</v>
      </c>
      <c r="J60" t="s">
        <v>49</v>
      </c>
      <c r="K60" s="13" t="s">
        <v>156</v>
      </c>
      <c r="L60" s="15" t="s">
        <v>63</v>
      </c>
    </row>
    <row r="61" spans="1:12" ht="27">
      <c r="A61" s="4" t="s">
        <v>157</v>
      </c>
      <c r="B61" t="s">
        <v>44</v>
      </c>
      <c r="C61" t="s">
        <v>45</v>
      </c>
      <c r="D61" s="13" t="s">
        <v>78</v>
      </c>
      <c r="E61" t="s">
        <v>47</v>
      </c>
      <c r="F61" t="s">
        <v>48</v>
      </c>
      <c r="G61" s="9">
        <v>375000</v>
      </c>
      <c r="H61" s="9">
        <v>0</v>
      </c>
      <c r="I61" s="11">
        <v>0</v>
      </c>
      <c r="J61" t="s">
        <v>49</v>
      </c>
      <c r="K61" s="13" t="s">
        <v>150</v>
      </c>
      <c r="L61" s="15" t="s">
        <v>63</v>
      </c>
    </row>
    <row r="62" spans="1:12" ht="27">
      <c r="A62" s="4" t="s">
        <v>158</v>
      </c>
      <c r="B62" t="s">
        <v>44</v>
      </c>
      <c r="C62" t="s">
        <v>45</v>
      </c>
      <c r="D62" s="13" t="s">
        <v>159</v>
      </c>
      <c r="E62" t="s">
        <v>47</v>
      </c>
      <c r="F62" t="s">
        <v>48</v>
      </c>
      <c r="G62" s="9">
        <v>125000</v>
      </c>
      <c r="H62" s="9">
        <v>0</v>
      </c>
      <c r="I62" s="11">
        <v>0</v>
      </c>
      <c r="J62" t="s">
        <v>49</v>
      </c>
      <c r="K62" s="13" t="s">
        <v>160</v>
      </c>
      <c r="L62" s="15" t="s">
        <v>63</v>
      </c>
    </row>
    <row r="63" spans="1:12" ht="27">
      <c r="A63" s="4" t="s">
        <v>161</v>
      </c>
      <c r="B63" t="s">
        <v>44</v>
      </c>
      <c r="C63" t="s">
        <v>45</v>
      </c>
      <c r="D63" s="13" t="s">
        <v>162</v>
      </c>
      <c r="E63" t="s">
        <v>47</v>
      </c>
      <c r="F63" t="s">
        <v>48</v>
      </c>
      <c r="G63" s="9">
        <v>750000</v>
      </c>
      <c r="H63" s="9">
        <v>0</v>
      </c>
      <c r="I63" s="11">
        <v>0</v>
      </c>
      <c r="J63" t="s">
        <v>49</v>
      </c>
      <c r="K63" s="13" t="s">
        <v>163</v>
      </c>
      <c r="L63" s="15" t="s">
        <v>63</v>
      </c>
    </row>
    <row r="64" spans="1:12" ht="27">
      <c r="A64" s="4" t="s">
        <v>164</v>
      </c>
      <c r="B64" t="s">
        <v>44</v>
      </c>
      <c r="C64" t="s">
        <v>45</v>
      </c>
      <c r="D64" s="13" t="s">
        <v>92</v>
      </c>
      <c r="E64" t="s">
        <v>47</v>
      </c>
      <c r="F64" t="s">
        <v>48</v>
      </c>
      <c r="G64" s="9">
        <v>13580000</v>
      </c>
      <c r="H64" s="9">
        <v>0</v>
      </c>
      <c r="I64" s="11">
        <v>0</v>
      </c>
      <c r="J64" t="s">
        <v>49</v>
      </c>
      <c r="K64" s="13" t="s">
        <v>165</v>
      </c>
      <c r="L64" s="15" t="s">
        <v>63</v>
      </c>
    </row>
    <row r="65" spans="1:12" ht="27">
      <c r="A65" s="4" t="s">
        <v>166</v>
      </c>
      <c r="B65" t="s">
        <v>44</v>
      </c>
      <c r="C65" t="s">
        <v>45</v>
      </c>
      <c r="D65" s="13" t="s">
        <v>115</v>
      </c>
      <c r="E65" t="s">
        <v>47</v>
      </c>
      <c r="F65" t="s">
        <v>48</v>
      </c>
      <c r="G65" s="9">
        <v>2000000</v>
      </c>
      <c r="H65" s="9">
        <v>0</v>
      </c>
      <c r="I65" s="11">
        <v>0</v>
      </c>
      <c r="J65" t="s">
        <v>49</v>
      </c>
      <c r="K65" s="13" t="s">
        <v>167</v>
      </c>
      <c r="L65" s="15" t="s">
        <v>63</v>
      </c>
    </row>
    <row r="66" spans="1:12" ht="27">
      <c r="A66" s="4" t="s">
        <v>168</v>
      </c>
      <c r="B66" t="s">
        <v>44</v>
      </c>
      <c r="C66" t="s">
        <v>45</v>
      </c>
      <c r="D66" s="13" t="s">
        <v>92</v>
      </c>
      <c r="E66" t="s">
        <v>47</v>
      </c>
      <c r="F66" t="s">
        <v>48</v>
      </c>
      <c r="G66" s="9">
        <v>13580000</v>
      </c>
      <c r="H66" s="9">
        <v>0</v>
      </c>
      <c r="I66" s="11">
        <v>0</v>
      </c>
      <c r="J66" t="s">
        <v>49</v>
      </c>
      <c r="K66" s="13" t="s">
        <v>165</v>
      </c>
      <c r="L66" s="15" t="s">
        <v>63</v>
      </c>
    </row>
    <row r="67" spans="1:12" ht="27">
      <c r="A67" s="4" t="s">
        <v>169</v>
      </c>
      <c r="B67" t="s">
        <v>44</v>
      </c>
      <c r="C67" t="s">
        <v>45</v>
      </c>
      <c r="D67" s="13" t="s">
        <v>115</v>
      </c>
      <c r="E67" t="s">
        <v>47</v>
      </c>
      <c r="F67" t="s">
        <v>48</v>
      </c>
      <c r="G67" s="9">
        <v>2000000</v>
      </c>
      <c r="H67" s="9">
        <v>0</v>
      </c>
      <c r="I67" s="11">
        <v>0</v>
      </c>
      <c r="J67" t="s">
        <v>49</v>
      </c>
      <c r="K67" s="13" t="s">
        <v>170</v>
      </c>
      <c r="L67" s="15" t="s">
        <v>171</v>
      </c>
    </row>
    <row r="68" spans="1:12" ht="27">
      <c r="A68" s="4" t="s">
        <v>172</v>
      </c>
      <c r="B68" t="s">
        <v>44</v>
      </c>
      <c r="C68" t="s">
        <v>45</v>
      </c>
      <c r="D68" s="13" t="s">
        <v>147</v>
      </c>
      <c r="E68" t="s">
        <v>47</v>
      </c>
      <c r="F68" t="s">
        <v>48</v>
      </c>
      <c r="G68" s="9">
        <v>371000</v>
      </c>
      <c r="H68" s="9">
        <v>0</v>
      </c>
      <c r="I68" s="11">
        <v>0</v>
      </c>
      <c r="J68" t="s">
        <v>49</v>
      </c>
      <c r="K68" s="13" t="s">
        <v>152</v>
      </c>
      <c r="L68" s="15" t="s">
        <v>63</v>
      </c>
    </row>
    <row r="69" spans="1:12" ht="27">
      <c r="A69" s="4" t="s">
        <v>173</v>
      </c>
      <c r="B69" t="s">
        <v>44</v>
      </c>
      <c r="C69" t="s">
        <v>45</v>
      </c>
      <c r="D69" s="13" t="s">
        <v>162</v>
      </c>
      <c r="E69" t="s">
        <v>47</v>
      </c>
      <c r="F69" t="s">
        <v>48</v>
      </c>
      <c r="G69" s="9">
        <v>750000</v>
      </c>
      <c r="H69" s="9">
        <v>0</v>
      </c>
      <c r="I69" s="11">
        <v>0</v>
      </c>
      <c r="J69" t="s">
        <v>49</v>
      </c>
      <c r="K69" s="13" t="s">
        <v>163</v>
      </c>
      <c r="L69" s="15" t="s">
        <v>63</v>
      </c>
    </row>
    <row r="70" spans="1:12" ht="27">
      <c r="A70" s="4" t="s">
        <v>174</v>
      </c>
      <c r="B70" t="s">
        <v>44</v>
      </c>
      <c r="C70" t="s">
        <v>45</v>
      </c>
      <c r="D70" s="13" t="s">
        <v>159</v>
      </c>
      <c r="E70" t="s">
        <v>47</v>
      </c>
      <c r="F70" t="s">
        <v>48</v>
      </c>
      <c r="G70" s="9">
        <v>125000</v>
      </c>
      <c r="H70" s="9">
        <v>0</v>
      </c>
      <c r="I70" s="11">
        <v>0</v>
      </c>
      <c r="J70" t="s">
        <v>49</v>
      </c>
      <c r="K70" s="13" t="s">
        <v>160</v>
      </c>
      <c r="L70" s="15" t="s">
        <v>63</v>
      </c>
    </row>
    <row r="71" spans="1:12" ht="27">
      <c r="A71" s="4" t="s">
        <v>175</v>
      </c>
      <c r="B71" t="s">
        <v>44</v>
      </c>
      <c r="C71" t="s">
        <v>45</v>
      </c>
      <c r="D71" s="13" t="s">
        <v>75</v>
      </c>
      <c r="E71" t="s">
        <v>47</v>
      </c>
      <c r="F71" t="s">
        <v>48</v>
      </c>
      <c r="G71" s="9">
        <v>375000</v>
      </c>
      <c r="H71" s="9">
        <v>0</v>
      </c>
      <c r="I71" s="11">
        <v>0</v>
      </c>
      <c r="J71" t="s">
        <v>49</v>
      </c>
      <c r="K71" s="13" t="s">
        <v>150</v>
      </c>
      <c r="L71" s="15" t="s">
        <v>63</v>
      </c>
    </row>
    <row r="72" spans="1:12" ht="27">
      <c r="A72" s="4" t="s">
        <v>176</v>
      </c>
      <c r="B72" t="s">
        <v>44</v>
      </c>
      <c r="C72" t="s">
        <v>45</v>
      </c>
      <c r="D72" s="13" t="s">
        <v>78</v>
      </c>
      <c r="E72" t="s">
        <v>47</v>
      </c>
      <c r="F72" t="s">
        <v>48</v>
      </c>
      <c r="G72" s="9">
        <v>375000</v>
      </c>
      <c r="H72" s="9">
        <v>0</v>
      </c>
      <c r="I72" s="11">
        <v>0</v>
      </c>
      <c r="J72" t="s">
        <v>49</v>
      </c>
      <c r="K72" s="13" t="s">
        <v>150</v>
      </c>
      <c r="L72" s="15" t="s">
        <v>63</v>
      </c>
    </row>
    <row r="73" spans="1:12" ht="27">
      <c r="A73" s="4" t="s">
        <v>177</v>
      </c>
      <c r="B73" t="s">
        <v>44</v>
      </c>
      <c r="C73" t="s">
        <v>45</v>
      </c>
      <c r="D73" s="13" t="s">
        <v>130</v>
      </c>
      <c r="E73" t="s">
        <v>47</v>
      </c>
      <c r="F73" t="s">
        <v>48</v>
      </c>
      <c r="G73" s="9">
        <v>154000</v>
      </c>
      <c r="H73" s="9">
        <v>0</v>
      </c>
      <c r="I73" s="11">
        <v>0</v>
      </c>
      <c r="J73" t="s">
        <v>49</v>
      </c>
      <c r="K73" s="13" t="s">
        <v>156</v>
      </c>
      <c r="L73" s="15" t="s">
        <v>63</v>
      </c>
    </row>
    <row r="74" spans="1:12" ht="27">
      <c r="A74" s="4" t="s">
        <v>178</v>
      </c>
      <c r="B74" t="s">
        <v>44</v>
      </c>
      <c r="C74" t="s">
        <v>45</v>
      </c>
      <c r="D74" s="13" t="s">
        <v>80</v>
      </c>
      <c r="E74" t="s">
        <v>47</v>
      </c>
      <c r="F74" t="s">
        <v>48</v>
      </c>
      <c r="G74" s="9">
        <v>110000</v>
      </c>
      <c r="H74" s="9">
        <v>0</v>
      </c>
      <c r="I74" s="11">
        <v>0</v>
      </c>
      <c r="J74" t="s">
        <v>49</v>
      </c>
      <c r="K74" s="13" t="s">
        <v>154</v>
      </c>
      <c r="L74" s="15" t="s">
        <v>63</v>
      </c>
    </row>
    <row r="75" spans="1:12" ht="27">
      <c r="A75" s="4" t="s">
        <v>179</v>
      </c>
      <c r="B75" t="s">
        <v>44</v>
      </c>
      <c r="C75" t="s">
        <v>45</v>
      </c>
      <c r="D75" s="13" t="s">
        <v>75</v>
      </c>
      <c r="E75" t="s">
        <v>47</v>
      </c>
      <c r="F75" t="s">
        <v>48</v>
      </c>
      <c r="G75" s="9">
        <v>7000000</v>
      </c>
      <c r="H75" s="9">
        <v>0</v>
      </c>
      <c r="I75" s="11">
        <v>0</v>
      </c>
      <c r="J75" t="s">
        <v>49</v>
      </c>
      <c r="K75" s="13" t="s">
        <v>109</v>
      </c>
      <c r="L75" s="15" t="s">
        <v>63</v>
      </c>
    </row>
    <row r="76" spans="1:12" ht="27">
      <c r="A76" s="4" t="s">
        <v>180</v>
      </c>
      <c r="B76" t="s">
        <v>44</v>
      </c>
      <c r="C76" t="s">
        <v>45</v>
      </c>
      <c r="D76" s="13" t="s">
        <v>181</v>
      </c>
      <c r="E76" t="s">
        <v>47</v>
      </c>
      <c r="F76" t="s">
        <v>48</v>
      </c>
      <c r="G76" s="9">
        <v>4480000</v>
      </c>
      <c r="H76" s="9">
        <v>0</v>
      </c>
      <c r="I76" s="11">
        <v>0</v>
      </c>
      <c r="J76" t="s">
        <v>49</v>
      </c>
      <c r="K76" s="13" t="s">
        <v>182</v>
      </c>
      <c r="L76" s="15" t="s">
        <v>63</v>
      </c>
    </row>
    <row r="77" spans="1:12" ht="40.5">
      <c r="A77" s="4" t="s">
        <v>183</v>
      </c>
      <c r="B77" t="s">
        <v>44</v>
      </c>
      <c r="C77" t="s">
        <v>45</v>
      </c>
      <c r="D77" s="13" t="s">
        <v>46</v>
      </c>
      <c r="E77" t="s">
        <v>47</v>
      </c>
      <c r="F77" t="s">
        <v>48</v>
      </c>
      <c r="G77" s="9">
        <v>1750000</v>
      </c>
      <c r="H77" s="9">
        <v>0</v>
      </c>
      <c r="I77" s="11">
        <v>0</v>
      </c>
      <c r="J77" t="s">
        <v>49</v>
      </c>
      <c r="K77" s="13" t="s">
        <v>184</v>
      </c>
      <c r="L77" s="15" t="s">
        <v>63</v>
      </c>
    </row>
    <row r="78" spans="1:12" ht="27">
      <c r="A78" s="4" t="s">
        <v>185</v>
      </c>
      <c r="B78" t="s">
        <v>44</v>
      </c>
      <c r="C78" t="s">
        <v>45</v>
      </c>
      <c r="D78" s="13" t="s">
        <v>186</v>
      </c>
      <c r="E78" t="s">
        <v>47</v>
      </c>
      <c r="F78" t="s">
        <v>48</v>
      </c>
      <c r="G78" s="9">
        <v>5600000</v>
      </c>
      <c r="H78" s="9">
        <v>0</v>
      </c>
      <c r="I78" s="11">
        <v>0</v>
      </c>
      <c r="J78" t="s">
        <v>49</v>
      </c>
      <c r="K78" s="13" t="s">
        <v>187</v>
      </c>
      <c r="L78" s="15" t="s">
        <v>63</v>
      </c>
    </row>
    <row r="79" spans="1:12" ht="27">
      <c r="A79" s="4" t="s">
        <v>188</v>
      </c>
      <c r="B79" t="s">
        <v>44</v>
      </c>
      <c r="C79" t="s">
        <v>45</v>
      </c>
      <c r="D79" s="13" t="s">
        <v>189</v>
      </c>
      <c r="E79" t="s">
        <v>47</v>
      </c>
      <c r="F79" t="s">
        <v>48</v>
      </c>
      <c r="G79" s="9">
        <v>21760000</v>
      </c>
      <c r="H79" s="9">
        <v>0</v>
      </c>
      <c r="I79" s="11">
        <v>0</v>
      </c>
      <c r="J79" t="s">
        <v>49</v>
      </c>
      <c r="K79" s="13" t="s">
        <v>190</v>
      </c>
      <c r="L79" s="15" t="s">
        <v>63</v>
      </c>
    </row>
    <row r="80" spans="1:12" ht="27">
      <c r="A80" s="4" t="s">
        <v>191</v>
      </c>
      <c r="B80" t="s">
        <v>44</v>
      </c>
      <c r="C80" t="s">
        <v>45</v>
      </c>
      <c r="D80" s="13" t="s">
        <v>80</v>
      </c>
      <c r="E80" t="s">
        <v>47</v>
      </c>
      <c r="F80" t="s">
        <v>48</v>
      </c>
      <c r="G80" s="9">
        <v>1750000</v>
      </c>
      <c r="H80" s="9">
        <v>0</v>
      </c>
      <c r="I80" s="11">
        <v>0</v>
      </c>
      <c r="J80" t="s">
        <v>49</v>
      </c>
      <c r="K80" s="13" t="s">
        <v>111</v>
      </c>
      <c r="L80" s="15" t="s">
        <v>63</v>
      </c>
    </row>
    <row r="81" spans="1:12" ht="27">
      <c r="A81" s="4" t="s">
        <v>192</v>
      </c>
      <c r="B81" t="s">
        <v>44</v>
      </c>
      <c r="C81" t="s">
        <v>45</v>
      </c>
      <c r="D81" s="13" t="s">
        <v>100</v>
      </c>
      <c r="E81" t="s">
        <v>47</v>
      </c>
      <c r="F81" t="s">
        <v>48</v>
      </c>
      <c r="G81" s="9">
        <v>11200000</v>
      </c>
      <c r="H81" s="9">
        <v>0</v>
      </c>
      <c r="I81" s="11">
        <v>0</v>
      </c>
      <c r="J81" t="s">
        <v>49</v>
      </c>
      <c r="K81" s="13" t="s">
        <v>101</v>
      </c>
      <c r="L81" s="15" t="s">
        <v>63</v>
      </c>
    </row>
    <row r="82" spans="1:12" ht="27">
      <c r="A82" s="4" t="s">
        <v>193</v>
      </c>
      <c r="B82" t="s">
        <v>44</v>
      </c>
      <c r="C82" t="s">
        <v>45</v>
      </c>
      <c r="D82" s="13" t="s">
        <v>105</v>
      </c>
      <c r="E82" t="s">
        <v>47</v>
      </c>
      <c r="F82" t="s">
        <v>48</v>
      </c>
      <c r="G82" s="9">
        <v>1120000</v>
      </c>
      <c r="H82" s="9">
        <v>0</v>
      </c>
      <c r="I82" s="11">
        <v>0</v>
      </c>
      <c r="J82" t="s">
        <v>49</v>
      </c>
      <c r="K82" s="13" t="s">
        <v>106</v>
      </c>
      <c r="L82" s="15" t="s">
        <v>63</v>
      </c>
    </row>
    <row r="83" spans="1:12" ht="27">
      <c r="A83" s="4" t="s">
        <v>194</v>
      </c>
      <c r="B83" t="s">
        <v>44</v>
      </c>
      <c r="C83" t="s">
        <v>45</v>
      </c>
      <c r="D83" s="13" t="s">
        <v>75</v>
      </c>
      <c r="E83" t="s">
        <v>47</v>
      </c>
      <c r="F83" t="s">
        <v>48</v>
      </c>
      <c r="G83" s="9">
        <v>3500000</v>
      </c>
      <c r="H83" s="9">
        <v>0</v>
      </c>
      <c r="I83" s="11">
        <v>0</v>
      </c>
      <c r="J83" t="s">
        <v>49</v>
      </c>
      <c r="K83" s="13" t="s">
        <v>195</v>
      </c>
      <c r="L83" s="15" t="s">
        <v>63</v>
      </c>
    </row>
    <row r="84" spans="1:12" ht="27">
      <c r="A84" s="4" t="s">
        <v>196</v>
      </c>
      <c r="B84" t="s">
        <v>44</v>
      </c>
      <c r="C84" t="s">
        <v>45</v>
      </c>
      <c r="D84" s="13" t="s">
        <v>78</v>
      </c>
      <c r="E84" t="s">
        <v>47</v>
      </c>
      <c r="F84" t="s">
        <v>48</v>
      </c>
      <c r="G84" s="9">
        <v>3500000</v>
      </c>
      <c r="H84" s="9">
        <v>0</v>
      </c>
      <c r="I84" s="11">
        <v>0</v>
      </c>
      <c r="J84" t="s">
        <v>49</v>
      </c>
      <c r="K84" s="13" t="s">
        <v>195</v>
      </c>
      <c r="L84" s="15" t="s">
        <v>63</v>
      </c>
    </row>
    <row r="85" spans="1:12" ht="27">
      <c r="A85" s="4" t="s">
        <v>197</v>
      </c>
      <c r="B85" t="s">
        <v>44</v>
      </c>
      <c r="C85" t="s">
        <v>45</v>
      </c>
      <c r="D85" s="13" t="s">
        <v>46</v>
      </c>
      <c r="E85" t="s">
        <v>47</v>
      </c>
      <c r="F85" t="s">
        <v>48</v>
      </c>
      <c r="G85" s="9">
        <v>1750000</v>
      </c>
      <c r="H85" s="9">
        <v>0</v>
      </c>
      <c r="I85" s="11">
        <v>0</v>
      </c>
      <c r="J85" t="s">
        <v>49</v>
      </c>
      <c r="K85" s="13" t="s">
        <v>111</v>
      </c>
      <c r="L85" s="15" t="s">
        <v>63</v>
      </c>
    </row>
    <row r="86" spans="1:12" ht="27">
      <c r="A86" s="4" t="s">
        <v>198</v>
      </c>
      <c r="B86" t="s">
        <v>44</v>
      </c>
      <c r="C86" t="s">
        <v>45</v>
      </c>
      <c r="D86" s="13" t="s">
        <v>199</v>
      </c>
      <c r="E86" t="s">
        <v>47</v>
      </c>
      <c r="F86" t="s">
        <v>48</v>
      </c>
      <c r="G86" s="9">
        <v>33280000</v>
      </c>
      <c r="H86" s="9">
        <v>0</v>
      </c>
      <c r="I86" s="11">
        <v>0</v>
      </c>
      <c r="J86" t="s">
        <v>49</v>
      </c>
      <c r="K86" s="13" t="s">
        <v>200</v>
      </c>
      <c r="L86" s="15" t="s">
        <v>63</v>
      </c>
    </row>
    <row r="87" spans="1:12" ht="40.5">
      <c r="A87" s="4" t="s">
        <v>201</v>
      </c>
      <c r="B87" t="s">
        <v>44</v>
      </c>
      <c r="C87" t="s">
        <v>45</v>
      </c>
      <c r="D87" s="13" t="s">
        <v>80</v>
      </c>
      <c r="E87" t="s">
        <v>47</v>
      </c>
      <c r="F87" t="s">
        <v>48</v>
      </c>
      <c r="G87" s="9">
        <v>1000000</v>
      </c>
      <c r="H87" s="9">
        <v>0</v>
      </c>
      <c r="I87" s="11">
        <v>0</v>
      </c>
      <c r="J87" t="s">
        <v>49</v>
      </c>
      <c r="K87" s="13" t="s">
        <v>202</v>
      </c>
      <c r="L87" s="15" t="s">
        <v>63</v>
      </c>
    </row>
    <row r="88" spans="1:12" ht="40.5">
      <c r="A88" s="4" t="s">
        <v>203</v>
      </c>
      <c r="B88" t="s">
        <v>44</v>
      </c>
      <c r="C88" t="s">
        <v>45</v>
      </c>
      <c r="D88" s="13" t="s">
        <v>100</v>
      </c>
      <c r="E88" t="s">
        <v>47</v>
      </c>
      <c r="F88" t="s">
        <v>48</v>
      </c>
      <c r="G88" s="9">
        <v>6400000</v>
      </c>
      <c r="H88" s="9">
        <v>0</v>
      </c>
      <c r="I88" s="11">
        <v>0</v>
      </c>
      <c r="J88" t="s">
        <v>49</v>
      </c>
      <c r="K88" s="13" t="s">
        <v>204</v>
      </c>
      <c r="L88" s="15" t="s">
        <v>63</v>
      </c>
    </row>
    <row r="89" spans="1:12" ht="27">
      <c r="A89" s="4" t="s">
        <v>205</v>
      </c>
      <c r="B89" t="s">
        <v>44</v>
      </c>
      <c r="C89" t="s">
        <v>45</v>
      </c>
      <c r="D89" s="13" t="s">
        <v>105</v>
      </c>
      <c r="E89" t="s">
        <v>47</v>
      </c>
      <c r="F89" t="s">
        <v>48</v>
      </c>
      <c r="G89" s="9">
        <v>640000</v>
      </c>
      <c r="H89" s="9">
        <v>0</v>
      </c>
      <c r="I89" s="11">
        <v>0</v>
      </c>
      <c r="J89" t="s">
        <v>49</v>
      </c>
      <c r="K89" s="13" t="s">
        <v>206</v>
      </c>
      <c r="L89" s="15" t="s">
        <v>63</v>
      </c>
    </row>
    <row r="90" spans="1:12" ht="27">
      <c r="A90" s="4" t="s">
        <v>207</v>
      </c>
      <c r="B90" t="s">
        <v>44</v>
      </c>
      <c r="C90" t="s">
        <v>45</v>
      </c>
      <c r="D90" s="13" t="s">
        <v>208</v>
      </c>
      <c r="E90" t="s">
        <v>47</v>
      </c>
      <c r="F90" t="s">
        <v>48</v>
      </c>
      <c r="G90" s="9">
        <v>9600000</v>
      </c>
      <c r="H90" s="9">
        <v>0</v>
      </c>
      <c r="I90" s="11">
        <v>0</v>
      </c>
      <c r="J90" t="s">
        <v>49</v>
      </c>
      <c r="K90" s="13" t="s">
        <v>209</v>
      </c>
      <c r="L90" s="15" t="s">
        <v>63</v>
      </c>
    </row>
    <row r="91" spans="1:12" ht="27">
      <c r="A91" s="4" t="s">
        <v>210</v>
      </c>
      <c r="B91" t="s">
        <v>44</v>
      </c>
      <c r="C91" t="s">
        <v>45</v>
      </c>
      <c r="D91" s="13" t="s">
        <v>211</v>
      </c>
      <c r="E91" t="s">
        <v>47</v>
      </c>
      <c r="F91" t="s">
        <v>48</v>
      </c>
      <c r="G91" s="9">
        <v>44000000</v>
      </c>
      <c r="H91" s="9">
        <v>0</v>
      </c>
      <c r="I91" s="11">
        <v>0</v>
      </c>
      <c r="J91" t="s">
        <v>49</v>
      </c>
      <c r="K91" s="13" t="s">
        <v>212</v>
      </c>
      <c r="L91" s="15" t="s">
        <v>63</v>
      </c>
    </row>
    <row r="92" spans="1:12" ht="27">
      <c r="A92" s="4" t="s">
        <v>213</v>
      </c>
      <c r="B92" t="s">
        <v>44</v>
      </c>
      <c r="C92" t="s">
        <v>45</v>
      </c>
      <c r="D92" s="13" t="s">
        <v>214</v>
      </c>
      <c r="E92" t="s">
        <v>47</v>
      </c>
      <c r="F92" t="s">
        <v>48</v>
      </c>
      <c r="G92" s="9">
        <v>48000000</v>
      </c>
      <c r="H92" s="9">
        <v>0</v>
      </c>
      <c r="I92" s="11">
        <v>0</v>
      </c>
      <c r="J92" t="s">
        <v>49</v>
      </c>
      <c r="K92" s="13" t="s">
        <v>215</v>
      </c>
      <c r="L92" s="15" t="s">
        <v>63</v>
      </c>
    </row>
    <row r="93" spans="1:12" ht="27">
      <c r="A93" s="4" t="s">
        <v>216</v>
      </c>
      <c r="B93" t="s">
        <v>44</v>
      </c>
      <c r="C93" t="s">
        <v>45</v>
      </c>
      <c r="D93" s="13" t="s">
        <v>75</v>
      </c>
      <c r="E93" t="s">
        <v>47</v>
      </c>
      <c r="F93" t="s">
        <v>48</v>
      </c>
      <c r="G93" s="9">
        <v>3280000</v>
      </c>
      <c r="H93" s="9">
        <v>0</v>
      </c>
      <c r="I93" s="11">
        <v>0</v>
      </c>
      <c r="J93" t="s">
        <v>49</v>
      </c>
      <c r="K93" s="13" t="s">
        <v>217</v>
      </c>
      <c r="L93" s="15" t="s">
        <v>63</v>
      </c>
    </row>
    <row r="94" spans="1:12" ht="27">
      <c r="A94" s="4" t="s">
        <v>218</v>
      </c>
      <c r="B94" t="s">
        <v>44</v>
      </c>
      <c r="C94" t="s">
        <v>45</v>
      </c>
      <c r="D94" s="13" t="s">
        <v>78</v>
      </c>
      <c r="E94" t="s">
        <v>47</v>
      </c>
      <c r="F94" t="s">
        <v>48</v>
      </c>
      <c r="G94" s="9">
        <v>2000000</v>
      </c>
      <c r="H94" s="9">
        <v>0</v>
      </c>
      <c r="I94" s="11">
        <v>0</v>
      </c>
      <c r="J94" t="s">
        <v>49</v>
      </c>
      <c r="K94" s="13" t="s">
        <v>167</v>
      </c>
      <c r="L94" s="15" t="s">
        <v>63</v>
      </c>
    </row>
    <row r="95" spans="1:12" ht="40.5">
      <c r="A95" s="4" t="s">
        <v>219</v>
      </c>
      <c r="B95" t="s">
        <v>44</v>
      </c>
      <c r="C95" t="s">
        <v>45</v>
      </c>
      <c r="D95" s="13" t="s">
        <v>46</v>
      </c>
      <c r="E95" t="s">
        <v>47</v>
      </c>
      <c r="F95" t="s">
        <v>48</v>
      </c>
      <c r="G95" s="9">
        <v>1000000</v>
      </c>
      <c r="H95" s="9">
        <v>0</v>
      </c>
      <c r="I95" s="11">
        <v>0</v>
      </c>
      <c r="J95" t="s">
        <v>49</v>
      </c>
      <c r="K95" s="13" t="s">
        <v>202</v>
      </c>
      <c r="L95" s="15" t="s">
        <v>63</v>
      </c>
    </row>
    <row r="96" spans="1:12" ht="27">
      <c r="A96" s="4" t="s">
        <v>220</v>
      </c>
      <c r="B96" t="s">
        <v>44</v>
      </c>
      <c r="C96" t="s">
        <v>45</v>
      </c>
      <c r="D96" s="13" t="s">
        <v>105</v>
      </c>
      <c r="E96" t="s">
        <v>47</v>
      </c>
      <c r="F96" t="s">
        <v>48</v>
      </c>
      <c r="G96" s="9">
        <v>1120000</v>
      </c>
      <c r="H96" s="9">
        <v>0</v>
      </c>
      <c r="I96" s="11">
        <v>0</v>
      </c>
      <c r="J96" t="s">
        <v>49</v>
      </c>
      <c r="K96" s="13" t="s">
        <v>106</v>
      </c>
      <c r="L96" s="15" t="s">
        <v>63</v>
      </c>
    </row>
    <row r="97" spans="1:12" ht="27">
      <c r="A97" s="4" t="s">
        <v>221</v>
      </c>
      <c r="B97" t="s">
        <v>44</v>
      </c>
      <c r="C97" t="s">
        <v>45</v>
      </c>
      <c r="D97" s="13" t="s">
        <v>78</v>
      </c>
      <c r="E97" t="s">
        <v>47</v>
      </c>
      <c r="F97" t="s">
        <v>48</v>
      </c>
      <c r="G97" s="9">
        <v>2800000</v>
      </c>
      <c r="H97" s="9">
        <v>0</v>
      </c>
      <c r="I97" s="11">
        <v>0</v>
      </c>
      <c r="J97" t="s">
        <v>49</v>
      </c>
      <c r="K97" s="13" t="s">
        <v>222</v>
      </c>
      <c r="L97" s="15" t="s">
        <v>171</v>
      </c>
    </row>
    <row r="98" spans="1:12" ht="27">
      <c r="A98" s="4" t="s">
        <v>223</v>
      </c>
      <c r="B98" t="s">
        <v>44</v>
      </c>
      <c r="C98" t="s">
        <v>45</v>
      </c>
      <c r="D98" s="13" t="s">
        <v>100</v>
      </c>
      <c r="E98" t="s">
        <v>47</v>
      </c>
      <c r="F98" t="s">
        <v>48</v>
      </c>
      <c r="G98" s="9">
        <v>11200000</v>
      </c>
      <c r="H98" s="9">
        <v>0</v>
      </c>
      <c r="I98" s="11">
        <v>0</v>
      </c>
      <c r="J98" t="s">
        <v>49</v>
      </c>
      <c r="K98" s="13" t="s">
        <v>101</v>
      </c>
      <c r="L98" s="15" t="s">
        <v>63</v>
      </c>
    </row>
    <row r="99" spans="1:12" ht="27">
      <c r="A99" s="4" t="s">
        <v>224</v>
      </c>
      <c r="B99" t="s">
        <v>44</v>
      </c>
      <c r="C99" t="s">
        <v>45</v>
      </c>
      <c r="D99" s="13" t="s">
        <v>46</v>
      </c>
      <c r="E99" t="s">
        <v>47</v>
      </c>
      <c r="F99" t="s">
        <v>48</v>
      </c>
      <c r="G99" s="9">
        <v>1400000</v>
      </c>
      <c r="H99" s="9">
        <v>0</v>
      </c>
      <c r="I99" s="11">
        <v>0</v>
      </c>
      <c r="J99" t="s">
        <v>49</v>
      </c>
      <c r="K99" s="13" t="s">
        <v>225</v>
      </c>
      <c r="L99" s="15" t="s">
        <v>63</v>
      </c>
    </row>
    <row r="100" spans="1:12" ht="27">
      <c r="A100" s="4" t="s">
        <v>226</v>
      </c>
      <c r="B100" t="s">
        <v>44</v>
      </c>
      <c r="C100" t="s">
        <v>45</v>
      </c>
      <c r="D100" s="13" t="s">
        <v>80</v>
      </c>
      <c r="E100" t="s">
        <v>47</v>
      </c>
      <c r="F100" t="s">
        <v>48</v>
      </c>
      <c r="G100" s="9">
        <v>1750000</v>
      </c>
      <c r="H100" s="9">
        <v>0</v>
      </c>
      <c r="I100" s="11">
        <v>0</v>
      </c>
      <c r="J100" t="s">
        <v>49</v>
      </c>
      <c r="K100" s="13" t="s">
        <v>111</v>
      </c>
      <c r="L100" s="15" t="s">
        <v>63</v>
      </c>
    </row>
    <row r="101" spans="1:12" ht="27">
      <c r="A101" s="4" t="s">
        <v>227</v>
      </c>
      <c r="B101" t="s">
        <v>44</v>
      </c>
      <c r="C101" t="s">
        <v>45</v>
      </c>
      <c r="D101" s="13" t="s">
        <v>75</v>
      </c>
      <c r="E101" t="s">
        <v>47</v>
      </c>
      <c r="F101" t="s">
        <v>48</v>
      </c>
      <c r="G101" s="9">
        <v>3234000</v>
      </c>
      <c r="H101" s="9">
        <v>0</v>
      </c>
      <c r="I101" s="11">
        <v>0</v>
      </c>
      <c r="J101" t="s">
        <v>49</v>
      </c>
      <c r="K101" s="13" t="s">
        <v>228</v>
      </c>
      <c r="L101" s="15" t="s">
        <v>63</v>
      </c>
    </row>
    <row r="102" spans="1:12" ht="27">
      <c r="A102" s="4" t="s">
        <v>229</v>
      </c>
      <c r="B102" t="s">
        <v>44</v>
      </c>
      <c r="C102" t="s">
        <v>45</v>
      </c>
      <c r="D102" s="13" t="s">
        <v>80</v>
      </c>
      <c r="E102" t="s">
        <v>47</v>
      </c>
      <c r="F102" t="s">
        <v>48</v>
      </c>
      <c r="G102" s="9">
        <v>1250000</v>
      </c>
      <c r="H102" s="9">
        <v>0</v>
      </c>
      <c r="I102" s="11">
        <v>0</v>
      </c>
      <c r="J102" t="s">
        <v>49</v>
      </c>
      <c r="K102" s="13" t="s">
        <v>230</v>
      </c>
      <c r="L102" s="15" t="s">
        <v>63</v>
      </c>
    </row>
    <row r="103" spans="1:12" ht="27">
      <c r="A103" s="4" t="s">
        <v>231</v>
      </c>
      <c r="B103" t="s">
        <v>44</v>
      </c>
      <c r="C103" t="s">
        <v>45</v>
      </c>
      <c r="D103" s="13" t="s">
        <v>232</v>
      </c>
      <c r="E103" t="s">
        <v>47</v>
      </c>
      <c r="F103" t="s">
        <v>48</v>
      </c>
      <c r="G103" s="9">
        <v>23040000</v>
      </c>
      <c r="H103" s="9">
        <v>0</v>
      </c>
      <c r="I103" s="11">
        <v>0</v>
      </c>
      <c r="J103" t="s">
        <v>49</v>
      </c>
      <c r="K103" s="13" t="s">
        <v>233</v>
      </c>
      <c r="L103" s="15" t="s">
        <v>63</v>
      </c>
    </row>
    <row r="104" spans="1:12" ht="27">
      <c r="A104" s="4" t="s">
        <v>234</v>
      </c>
      <c r="B104" t="s">
        <v>44</v>
      </c>
      <c r="C104" t="s">
        <v>45</v>
      </c>
      <c r="D104" s="13" t="s">
        <v>100</v>
      </c>
      <c r="E104" t="s">
        <v>47</v>
      </c>
      <c r="F104" t="s">
        <v>48</v>
      </c>
      <c r="G104" s="9">
        <v>8000000</v>
      </c>
      <c r="H104" s="9">
        <v>0</v>
      </c>
      <c r="I104" s="11">
        <v>0</v>
      </c>
      <c r="J104" t="s">
        <v>49</v>
      </c>
      <c r="K104" s="13" t="s">
        <v>235</v>
      </c>
      <c r="L104" s="15" t="s">
        <v>63</v>
      </c>
    </row>
    <row r="105" spans="1:12" ht="27">
      <c r="A105" s="4" t="s">
        <v>236</v>
      </c>
      <c r="B105" t="s">
        <v>44</v>
      </c>
      <c r="C105" t="s">
        <v>45</v>
      </c>
      <c r="D105" s="13" t="s">
        <v>237</v>
      </c>
      <c r="E105" t="s">
        <v>47</v>
      </c>
      <c r="F105" t="s">
        <v>48</v>
      </c>
      <c r="G105" s="9">
        <v>13440000</v>
      </c>
      <c r="H105" s="9">
        <v>0</v>
      </c>
      <c r="I105" s="11">
        <v>0</v>
      </c>
      <c r="J105" t="s">
        <v>49</v>
      </c>
      <c r="K105" s="13" t="s">
        <v>238</v>
      </c>
      <c r="L105" s="15" t="s">
        <v>63</v>
      </c>
    </row>
    <row r="106" spans="1:12" ht="27">
      <c r="A106" s="4" t="s">
        <v>239</v>
      </c>
      <c r="B106" t="s">
        <v>44</v>
      </c>
      <c r="C106" t="s">
        <v>45</v>
      </c>
      <c r="D106" s="13" t="s">
        <v>186</v>
      </c>
      <c r="E106" t="s">
        <v>47</v>
      </c>
      <c r="F106" t="s">
        <v>48</v>
      </c>
      <c r="G106" s="9">
        <v>5600000</v>
      </c>
      <c r="H106" s="9">
        <v>0</v>
      </c>
      <c r="I106" s="11">
        <v>0</v>
      </c>
      <c r="J106" t="s">
        <v>49</v>
      </c>
      <c r="K106" s="13" t="s">
        <v>187</v>
      </c>
      <c r="L106" s="15" t="s">
        <v>63</v>
      </c>
    </row>
    <row r="107" spans="1:12" ht="27">
      <c r="A107" s="4" t="s">
        <v>240</v>
      </c>
      <c r="B107" t="s">
        <v>44</v>
      </c>
      <c r="C107" t="s">
        <v>45</v>
      </c>
      <c r="D107" s="13" t="s">
        <v>105</v>
      </c>
      <c r="E107" t="s">
        <v>47</v>
      </c>
      <c r="F107" t="s">
        <v>48</v>
      </c>
      <c r="G107" s="9">
        <v>800000</v>
      </c>
      <c r="H107" s="9">
        <v>0</v>
      </c>
      <c r="I107" s="11">
        <v>0</v>
      </c>
      <c r="J107" t="s">
        <v>49</v>
      </c>
      <c r="K107" s="13" t="s">
        <v>241</v>
      </c>
      <c r="L107" s="15" t="s">
        <v>63</v>
      </c>
    </row>
    <row r="108" spans="1:12" ht="27">
      <c r="A108" s="4" t="s">
        <v>242</v>
      </c>
      <c r="B108" t="s">
        <v>44</v>
      </c>
      <c r="C108" t="s">
        <v>45</v>
      </c>
      <c r="D108" s="13" t="s">
        <v>75</v>
      </c>
      <c r="E108" t="s">
        <v>47</v>
      </c>
      <c r="F108" t="s">
        <v>48</v>
      </c>
      <c r="G108" s="9">
        <v>7500000</v>
      </c>
      <c r="H108" s="9">
        <v>0</v>
      </c>
      <c r="I108" s="11">
        <v>0</v>
      </c>
      <c r="J108" t="s">
        <v>49</v>
      </c>
      <c r="K108" s="13" t="s">
        <v>241</v>
      </c>
      <c r="L108" s="15" t="s">
        <v>63</v>
      </c>
    </row>
    <row r="109" spans="1:12" ht="27">
      <c r="A109" s="4" t="s">
        <v>243</v>
      </c>
      <c r="B109" t="s">
        <v>44</v>
      </c>
      <c r="C109" t="s">
        <v>45</v>
      </c>
      <c r="D109" s="13" t="s">
        <v>78</v>
      </c>
      <c r="E109" t="s">
        <v>47</v>
      </c>
      <c r="F109" t="s">
        <v>48</v>
      </c>
      <c r="G109" s="9">
        <v>7500000</v>
      </c>
      <c r="H109" s="9">
        <v>0</v>
      </c>
      <c r="I109" s="11">
        <v>0</v>
      </c>
      <c r="J109" t="s">
        <v>49</v>
      </c>
      <c r="K109" s="13" t="s">
        <v>241</v>
      </c>
      <c r="L109" s="15" t="s">
        <v>63</v>
      </c>
    </row>
    <row r="110" spans="1:12" ht="27">
      <c r="A110" s="4" t="s">
        <v>244</v>
      </c>
      <c r="B110" t="s">
        <v>44</v>
      </c>
      <c r="C110" t="s">
        <v>45</v>
      </c>
      <c r="D110" s="13" t="s">
        <v>46</v>
      </c>
      <c r="E110" t="s">
        <v>47</v>
      </c>
      <c r="F110" t="s">
        <v>48</v>
      </c>
      <c r="G110" s="9">
        <v>3570000</v>
      </c>
      <c r="H110" s="9">
        <v>0</v>
      </c>
      <c r="I110" s="11">
        <v>0</v>
      </c>
      <c r="J110" t="s">
        <v>49</v>
      </c>
      <c r="K110" s="13" t="s">
        <v>241</v>
      </c>
      <c r="L110" s="15" t="s">
        <v>63</v>
      </c>
    </row>
    <row r="111" spans="1:12" ht="27">
      <c r="A111" s="4" t="s">
        <v>245</v>
      </c>
      <c r="B111" t="s">
        <v>44</v>
      </c>
      <c r="C111" t="s">
        <v>45</v>
      </c>
      <c r="D111" s="13" t="s">
        <v>199</v>
      </c>
      <c r="E111" t="s">
        <v>47</v>
      </c>
      <c r="F111" t="s">
        <v>48</v>
      </c>
      <c r="G111" s="9">
        <v>16640000</v>
      </c>
      <c r="H111" s="9">
        <v>0</v>
      </c>
      <c r="I111" s="11">
        <v>0</v>
      </c>
      <c r="J111" t="s">
        <v>49</v>
      </c>
      <c r="K111" s="13" t="s">
        <v>241</v>
      </c>
      <c r="L111" s="15" t="s">
        <v>63</v>
      </c>
    </row>
    <row r="112" spans="1:12" ht="27">
      <c r="A112" s="4" t="s">
        <v>246</v>
      </c>
      <c r="B112" t="s">
        <v>44</v>
      </c>
      <c r="C112" t="s">
        <v>45</v>
      </c>
      <c r="D112" s="13" t="s">
        <v>80</v>
      </c>
      <c r="E112" t="s">
        <v>47</v>
      </c>
      <c r="F112" t="s">
        <v>48</v>
      </c>
      <c r="G112" s="9">
        <v>500000</v>
      </c>
      <c r="H112" s="9">
        <v>0</v>
      </c>
      <c r="I112" s="11">
        <v>0</v>
      </c>
      <c r="J112" t="s">
        <v>49</v>
      </c>
      <c r="K112" s="13" t="s">
        <v>241</v>
      </c>
      <c r="L112" s="15" t="s">
        <v>63</v>
      </c>
    </row>
    <row r="113" spans="1:12" ht="40.5">
      <c r="A113" s="4" t="s">
        <v>247</v>
      </c>
      <c r="B113" t="s">
        <v>44</v>
      </c>
      <c r="C113" t="s">
        <v>45</v>
      </c>
      <c r="D113" s="13" t="s">
        <v>100</v>
      </c>
      <c r="E113" t="s">
        <v>47</v>
      </c>
      <c r="F113" t="s">
        <v>48</v>
      </c>
      <c r="G113" s="9">
        <v>3200000</v>
      </c>
      <c r="H113" s="9">
        <v>0</v>
      </c>
      <c r="I113" s="11">
        <v>0</v>
      </c>
      <c r="J113" t="s">
        <v>49</v>
      </c>
      <c r="K113" s="13" t="s">
        <v>248</v>
      </c>
      <c r="L113" s="15" t="s">
        <v>63</v>
      </c>
    </row>
    <row r="114" spans="1:12" ht="27">
      <c r="A114" s="4" t="s">
        <v>249</v>
      </c>
      <c r="B114" t="s">
        <v>44</v>
      </c>
      <c r="C114" t="s">
        <v>45</v>
      </c>
      <c r="D114" s="13" t="s">
        <v>105</v>
      </c>
      <c r="E114" t="s">
        <v>47</v>
      </c>
      <c r="F114" t="s">
        <v>48</v>
      </c>
      <c r="G114" s="9">
        <v>320000</v>
      </c>
      <c r="H114" s="9">
        <v>0</v>
      </c>
      <c r="I114" s="11">
        <v>0</v>
      </c>
      <c r="J114" t="s">
        <v>49</v>
      </c>
      <c r="K114" s="13" t="s">
        <v>241</v>
      </c>
      <c r="L114" s="15" t="s">
        <v>63</v>
      </c>
    </row>
    <row r="115" spans="1:12" ht="27">
      <c r="A115" s="4" t="s">
        <v>250</v>
      </c>
      <c r="B115" t="s">
        <v>44</v>
      </c>
      <c r="C115" t="s">
        <v>45</v>
      </c>
      <c r="D115" s="13" t="s">
        <v>208</v>
      </c>
      <c r="E115" t="s">
        <v>47</v>
      </c>
      <c r="F115" t="s">
        <v>48</v>
      </c>
      <c r="G115" s="9">
        <v>4800000</v>
      </c>
      <c r="H115" s="9">
        <v>0</v>
      </c>
      <c r="I115" s="11">
        <v>0</v>
      </c>
      <c r="J115" t="s">
        <v>49</v>
      </c>
      <c r="K115" s="13" t="s">
        <v>241</v>
      </c>
      <c r="L115" s="15" t="s">
        <v>63</v>
      </c>
    </row>
    <row r="116" spans="1:12" ht="40.5">
      <c r="A116" s="4" t="s">
        <v>251</v>
      </c>
      <c r="B116" t="s">
        <v>44</v>
      </c>
      <c r="C116" t="s">
        <v>45</v>
      </c>
      <c r="D116" s="13" t="s">
        <v>252</v>
      </c>
      <c r="E116" t="s">
        <v>47</v>
      </c>
      <c r="F116" t="s">
        <v>48</v>
      </c>
      <c r="G116" s="9">
        <v>79344000</v>
      </c>
      <c r="H116" s="9">
        <v>0</v>
      </c>
      <c r="I116" s="11">
        <v>0</v>
      </c>
      <c r="J116" t="s">
        <v>49</v>
      </c>
      <c r="K116" s="13" t="s">
        <v>253</v>
      </c>
      <c r="L116" s="15" t="s">
        <v>254</v>
      </c>
    </row>
    <row r="117" spans="1:12" ht="27">
      <c r="A117" s="4" t="s">
        <v>255</v>
      </c>
      <c r="B117" t="s">
        <v>44</v>
      </c>
      <c r="C117" t="s">
        <v>45</v>
      </c>
      <c r="D117" s="13" t="s">
        <v>75</v>
      </c>
      <c r="E117" t="s">
        <v>47</v>
      </c>
      <c r="F117" t="s">
        <v>48</v>
      </c>
      <c r="G117" s="9">
        <v>2000000</v>
      </c>
      <c r="H117" s="9">
        <v>0</v>
      </c>
      <c r="I117" s="11">
        <v>0</v>
      </c>
      <c r="J117" t="s">
        <v>49</v>
      </c>
      <c r="K117" s="13" t="s">
        <v>241</v>
      </c>
      <c r="L117" s="15" t="s">
        <v>63</v>
      </c>
    </row>
    <row r="118" spans="1:12" ht="27">
      <c r="A118" s="4" t="s">
        <v>256</v>
      </c>
      <c r="B118" t="s">
        <v>44</v>
      </c>
      <c r="C118" t="s">
        <v>45</v>
      </c>
      <c r="D118" s="13" t="s">
        <v>78</v>
      </c>
      <c r="E118" t="s">
        <v>47</v>
      </c>
      <c r="F118" t="s">
        <v>48</v>
      </c>
      <c r="G118" s="9">
        <v>2000000</v>
      </c>
      <c r="H118" s="9">
        <v>0</v>
      </c>
      <c r="I118" s="11">
        <v>0</v>
      </c>
      <c r="J118" t="s">
        <v>49</v>
      </c>
      <c r="K118" s="13" t="s">
        <v>241</v>
      </c>
      <c r="L118" s="15" t="s">
        <v>63</v>
      </c>
    </row>
    <row r="119" spans="1:12" ht="27">
      <c r="A119" s="4" t="s">
        <v>257</v>
      </c>
      <c r="B119" t="s">
        <v>44</v>
      </c>
      <c r="C119" t="s">
        <v>45</v>
      </c>
      <c r="D119" s="13" t="s">
        <v>46</v>
      </c>
      <c r="E119" t="s">
        <v>47</v>
      </c>
      <c r="F119" t="s">
        <v>48</v>
      </c>
      <c r="G119" s="9">
        <v>500000</v>
      </c>
      <c r="H119" s="9">
        <v>0</v>
      </c>
      <c r="I119" s="11">
        <v>0</v>
      </c>
      <c r="J119" t="s">
        <v>49</v>
      </c>
      <c r="K119" s="13" t="s">
        <v>241</v>
      </c>
      <c r="L119" s="15" t="s">
        <v>63</v>
      </c>
    </row>
    <row r="120" spans="1:12" ht="27">
      <c r="A120" s="4" t="s">
        <v>258</v>
      </c>
      <c r="B120" t="s">
        <v>44</v>
      </c>
      <c r="C120" t="s">
        <v>45</v>
      </c>
      <c r="D120" s="13" t="s">
        <v>59</v>
      </c>
      <c r="E120" t="s">
        <v>47</v>
      </c>
      <c r="F120" t="s">
        <v>48</v>
      </c>
      <c r="G120" s="9">
        <v>54120000</v>
      </c>
      <c r="H120" s="9">
        <v>0</v>
      </c>
      <c r="I120" s="11">
        <v>0</v>
      </c>
      <c r="J120" t="s">
        <v>49</v>
      </c>
      <c r="K120" s="13" t="s">
        <v>259</v>
      </c>
      <c r="L120" s="15" t="s">
        <v>260</v>
      </c>
    </row>
    <row r="121" spans="1:12" ht="27">
      <c r="A121" s="4" t="s">
        <v>261</v>
      </c>
      <c r="B121" t="s">
        <v>44</v>
      </c>
      <c r="C121" t="s">
        <v>45</v>
      </c>
      <c r="D121" s="13" t="s">
        <v>55</v>
      </c>
      <c r="E121" t="s">
        <v>47</v>
      </c>
      <c r="F121" t="s">
        <v>48</v>
      </c>
      <c r="G121" s="9">
        <v>108240000</v>
      </c>
      <c r="H121" s="9">
        <v>0</v>
      </c>
      <c r="I121" s="11">
        <v>0</v>
      </c>
      <c r="J121" t="s">
        <v>49</v>
      </c>
      <c r="K121" s="13" t="s">
        <v>259</v>
      </c>
      <c r="L121" s="15" t="s">
        <v>260</v>
      </c>
    </row>
    <row r="122" spans="1:12" ht="40.5">
      <c r="A122" s="4" t="s">
        <v>262</v>
      </c>
      <c r="B122" t="s">
        <v>44</v>
      </c>
      <c r="C122" t="s">
        <v>45</v>
      </c>
      <c r="D122" s="13" t="s">
        <v>263</v>
      </c>
      <c r="E122" t="s">
        <v>47</v>
      </c>
      <c r="F122" t="s">
        <v>48</v>
      </c>
      <c r="G122" s="9">
        <v>5396000</v>
      </c>
      <c r="H122" s="9">
        <v>0</v>
      </c>
      <c r="I122" s="11">
        <v>0</v>
      </c>
      <c r="J122" t="s">
        <v>49</v>
      </c>
      <c r="K122" s="13" t="s">
        <v>264</v>
      </c>
      <c r="L122" s="15" t="s">
        <v>265</v>
      </c>
    </row>
    <row r="123" spans="1:12" ht="40.5">
      <c r="A123" s="4" t="s">
        <v>269</v>
      </c>
      <c r="B123" t="s">
        <v>44</v>
      </c>
      <c r="C123" t="s">
        <v>45</v>
      </c>
      <c r="D123" s="13" t="s">
        <v>270</v>
      </c>
      <c r="E123" t="s">
        <v>47</v>
      </c>
      <c r="F123" t="s">
        <v>48</v>
      </c>
      <c r="G123" s="9">
        <v>12000000</v>
      </c>
      <c r="H123" s="9">
        <v>0</v>
      </c>
      <c r="I123" s="11">
        <v>0</v>
      </c>
      <c r="J123" t="s">
        <v>49</v>
      </c>
      <c r="K123" s="13" t="s">
        <v>271</v>
      </c>
      <c r="L123" s="15" t="s">
        <v>265</v>
      </c>
    </row>
    <row r="124" spans="1:12" ht="40.5">
      <c r="A124" s="4" t="s">
        <v>272</v>
      </c>
      <c r="B124" t="s">
        <v>44</v>
      </c>
      <c r="C124" t="s">
        <v>45</v>
      </c>
      <c r="D124" s="13" t="s">
        <v>273</v>
      </c>
      <c r="E124" t="s">
        <v>47</v>
      </c>
      <c r="F124" t="s">
        <v>48</v>
      </c>
      <c r="G124" s="9">
        <v>12000000</v>
      </c>
      <c r="H124" s="9">
        <v>0</v>
      </c>
      <c r="I124" s="11">
        <v>0</v>
      </c>
      <c r="J124" t="s">
        <v>49</v>
      </c>
      <c r="K124" s="13" t="s">
        <v>274</v>
      </c>
      <c r="L124" s="15" t="s">
        <v>265</v>
      </c>
    </row>
    <row r="125" spans="1:12" ht="40.5">
      <c r="A125" s="4" t="s">
        <v>275</v>
      </c>
      <c r="B125" t="s">
        <v>44</v>
      </c>
      <c r="C125" t="s">
        <v>45</v>
      </c>
      <c r="D125" s="13" t="s">
        <v>276</v>
      </c>
      <c r="E125" t="s">
        <v>47</v>
      </c>
      <c r="F125" t="s">
        <v>48</v>
      </c>
      <c r="G125" s="9">
        <v>11250000</v>
      </c>
      <c r="H125" s="9">
        <v>0</v>
      </c>
      <c r="I125" s="11">
        <v>0</v>
      </c>
      <c r="J125" t="s">
        <v>49</v>
      </c>
      <c r="K125" s="13" t="s">
        <v>277</v>
      </c>
      <c r="L125" s="15" t="s">
        <v>265</v>
      </c>
    </row>
    <row r="126" spans="1:12" ht="40.5">
      <c r="A126" s="4" t="s">
        <v>278</v>
      </c>
      <c r="B126" t="s">
        <v>44</v>
      </c>
      <c r="C126" t="s">
        <v>45</v>
      </c>
      <c r="D126" s="13" t="s">
        <v>279</v>
      </c>
      <c r="E126" t="s">
        <v>47</v>
      </c>
      <c r="F126" t="s">
        <v>48</v>
      </c>
      <c r="G126" s="9">
        <v>4500000</v>
      </c>
      <c r="H126" s="9">
        <v>0</v>
      </c>
      <c r="I126" s="11">
        <v>0</v>
      </c>
      <c r="J126" t="s">
        <v>49</v>
      </c>
      <c r="K126" s="13" t="s">
        <v>280</v>
      </c>
      <c r="L126" s="15" t="s">
        <v>265</v>
      </c>
    </row>
    <row r="127" spans="1:12" ht="40.5">
      <c r="A127" s="4" t="s">
        <v>281</v>
      </c>
      <c r="B127" t="s">
        <v>44</v>
      </c>
      <c r="C127" t="s">
        <v>45</v>
      </c>
      <c r="D127" s="13" t="s">
        <v>282</v>
      </c>
      <c r="E127" t="s">
        <v>47</v>
      </c>
      <c r="F127" t="s">
        <v>48</v>
      </c>
      <c r="G127" s="9">
        <v>4500000</v>
      </c>
      <c r="H127" s="9">
        <v>0</v>
      </c>
      <c r="I127" s="11">
        <v>0</v>
      </c>
      <c r="J127" t="s">
        <v>49</v>
      </c>
      <c r="K127" s="13" t="s">
        <v>280</v>
      </c>
      <c r="L127" s="15" t="s">
        <v>265</v>
      </c>
    </row>
    <row r="128" spans="1:12" ht="40.5">
      <c r="A128" s="4" t="s">
        <v>283</v>
      </c>
      <c r="B128" t="s">
        <v>44</v>
      </c>
      <c r="C128" t="s">
        <v>45</v>
      </c>
      <c r="D128" s="13" t="s">
        <v>284</v>
      </c>
      <c r="E128" t="s">
        <v>47</v>
      </c>
      <c r="F128" t="s">
        <v>48</v>
      </c>
      <c r="G128" s="9">
        <v>4500000</v>
      </c>
      <c r="H128" s="9">
        <v>0</v>
      </c>
      <c r="I128" s="11">
        <v>0</v>
      </c>
      <c r="J128" t="s">
        <v>49</v>
      </c>
      <c r="K128" s="13" t="s">
        <v>280</v>
      </c>
      <c r="L128" s="15" t="s">
        <v>265</v>
      </c>
    </row>
    <row r="129" spans="1:12" ht="40.5">
      <c r="A129" s="4" t="s">
        <v>285</v>
      </c>
      <c r="B129" t="s">
        <v>44</v>
      </c>
      <c r="C129" t="s">
        <v>45</v>
      </c>
      <c r="D129" s="13" t="s">
        <v>286</v>
      </c>
      <c r="E129" t="s">
        <v>47</v>
      </c>
      <c r="F129" t="s">
        <v>48</v>
      </c>
      <c r="G129" s="9">
        <v>2000000</v>
      </c>
      <c r="H129" s="9">
        <v>0</v>
      </c>
      <c r="I129" s="11">
        <v>0</v>
      </c>
      <c r="J129" t="s">
        <v>49</v>
      </c>
      <c r="K129" s="13" t="s">
        <v>287</v>
      </c>
      <c r="L129" s="15" t="s">
        <v>265</v>
      </c>
    </row>
    <row r="130" spans="1:12" ht="40.5">
      <c r="A130" s="4" t="s">
        <v>288</v>
      </c>
      <c r="B130" t="s">
        <v>44</v>
      </c>
      <c r="C130" t="s">
        <v>45</v>
      </c>
      <c r="D130" s="13" t="s">
        <v>289</v>
      </c>
      <c r="E130" t="s">
        <v>47</v>
      </c>
      <c r="F130" t="s">
        <v>84</v>
      </c>
      <c r="G130" s="9">
        <v>74000000</v>
      </c>
      <c r="H130" s="9">
        <v>73546380</v>
      </c>
      <c r="I130" s="11">
        <v>99</v>
      </c>
      <c r="J130" t="s">
        <v>49</v>
      </c>
      <c r="K130" s="13" t="s">
        <v>290</v>
      </c>
      <c r="L130" s="15" t="s">
        <v>291</v>
      </c>
    </row>
    <row r="131" spans="1:12" ht="40.5">
      <c r="A131" s="4" t="s">
        <v>293</v>
      </c>
      <c r="B131" t="s">
        <v>44</v>
      </c>
      <c r="C131" t="s">
        <v>45</v>
      </c>
      <c r="D131" s="13" t="s">
        <v>294</v>
      </c>
      <c r="E131" t="s">
        <v>47</v>
      </c>
      <c r="F131" t="s">
        <v>48</v>
      </c>
      <c r="G131" s="9">
        <v>3500000</v>
      </c>
      <c r="H131" s="9">
        <v>0</v>
      </c>
      <c r="I131" s="11">
        <v>0</v>
      </c>
      <c r="J131" t="s">
        <v>49</v>
      </c>
      <c r="K131" s="13" t="s">
        <v>295</v>
      </c>
      <c r="L131" s="15" t="s">
        <v>291</v>
      </c>
    </row>
    <row r="132" spans="1:12" ht="40.5">
      <c r="A132" s="4" t="s">
        <v>296</v>
      </c>
      <c r="B132" t="s">
        <v>44</v>
      </c>
      <c r="C132" t="s">
        <v>45</v>
      </c>
      <c r="D132" s="13" t="s">
        <v>297</v>
      </c>
      <c r="E132" t="s">
        <v>47</v>
      </c>
      <c r="F132" t="s">
        <v>48</v>
      </c>
      <c r="G132" s="9">
        <v>190000</v>
      </c>
      <c r="H132" s="9">
        <v>0</v>
      </c>
      <c r="I132" s="11">
        <v>0</v>
      </c>
      <c r="J132" t="s">
        <v>49</v>
      </c>
      <c r="K132" s="13" t="s">
        <v>298</v>
      </c>
      <c r="L132" s="15" t="s">
        <v>291</v>
      </c>
    </row>
    <row r="133" spans="1:12" ht="40.5">
      <c r="A133" s="4" t="s">
        <v>299</v>
      </c>
      <c r="B133" t="s">
        <v>44</v>
      </c>
      <c r="C133" t="s">
        <v>45</v>
      </c>
      <c r="D133" s="13" t="s">
        <v>300</v>
      </c>
      <c r="E133" t="s">
        <v>47</v>
      </c>
      <c r="F133" t="s">
        <v>48</v>
      </c>
      <c r="G133" s="9">
        <v>50000000</v>
      </c>
      <c r="H133" s="9">
        <v>0</v>
      </c>
      <c r="I133" s="11">
        <v>0</v>
      </c>
      <c r="J133" t="s">
        <v>49</v>
      </c>
      <c r="K133" s="13" t="s">
        <v>301</v>
      </c>
      <c r="L133" s="15" t="s">
        <v>291</v>
      </c>
    </row>
    <row r="134" spans="1:12" ht="40.5">
      <c r="A134" s="4" t="s">
        <v>302</v>
      </c>
      <c r="B134" t="s">
        <v>44</v>
      </c>
      <c r="C134" t="s">
        <v>45</v>
      </c>
      <c r="D134" s="13" t="s">
        <v>303</v>
      </c>
      <c r="E134" t="s">
        <v>47</v>
      </c>
      <c r="F134" t="s">
        <v>48</v>
      </c>
      <c r="G134" s="9">
        <v>56500000</v>
      </c>
      <c r="H134" s="9">
        <v>0</v>
      </c>
      <c r="I134" s="11">
        <v>0</v>
      </c>
      <c r="J134" t="s">
        <v>49</v>
      </c>
      <c r="K134" s="13" t="s">
        <v>304</v>
      </c>
      <c r="L134" s="15" t="s">
        <v>291</v>
      </c>
    </row>
    <row r="135" spans="1:12" ht="40.5">
      <c r="A135" s="4" t="s">
        <v>305</v>
      </c>
      <c r="B135" t="s">
        <v>44</v>
      </c>
      <c r="C135" t="s">
        <v>45</v>
      </c>
      <c r="D135" s="13" t="s">
        <v>306</v>
      </c>
      <c r="E135" t="s">
        <v>47</v>
      </c>
      <c r="F135" t="s">
        <v>48</v>
      </c>
      <c r="G135" s="9">
        <v>2000000</v>
      </c>
      <c r="H135" s="9">
        <v>0</v>
      </c>
      <c r="I135" s="11">
        <v>0</v>
      </c>
      <c r="J135" t="s">
        <v>49</v>
      </c>
      <c r="K135" s="13" t="s">
        <v>307</v>
      </c>
      <c r="L135" s="15" t="s">
        <v>291</v>
      </c>
    </row>
    <row r="136" spans="1:12" ht="40.5">
      <c r="A136" s="4" t="s">
        <v>308</v>
      </c>
      <c r="B136" t="s">
        <v>44</v>
      </c>
      <c r="C136" t="s">
        <v>45</v>
      </c>
      <c r="D136" s="13" t="s">
        <v>309</v>
      </c>
      <c r="E136" t="s">
        <v>47</v>
      </c>
      <c r="F136" t="s">
        <v>48</v>
      </c>
      <c r="G136" s="9">
        <v>2000000</v>
      </c>
      <c r="H136" s="9">
        <v>0</v>
      </c>
      <c r="I136" s="11">
        <v>0</v>
      </c>
      <c r="J136" t="s">
        <v>49</v>
      </c>
      <c r="K136" s="13" t="s">
        <v>307</v>
      </c>
      <c r="L136" s="15" t="s">
        <v>291</v>
      </c>
    </row>
    <row r="137" spans="1:12" ht="40.5">
      <c r="A137" s="4" t="s">
        <v>310</v>
      </c>
      <c r="B137" t="s">
        <v>44</v>
      </c>
      <c r="C137" t="s">
        <v>45</v>
      </c>
      <c r="D137" s="13" t="s">
        <v>311</v>
      </c>
      <c r="E137" t="s">
        <v>47</v>
      </c>
      <c r="F137" t="s">
        <v>48</v>
      </c>
      <c r="G137" s="9">
        <v>1000000</v>
      </c>
      <c r="H137" s="9">
        <v>0</v>
      </c>
      <c r="I137" s="11">
        <v>0</v>
      </c>
      <c r="J137" t="s">
        <v>49</v>
      </c>
      <c r="K137" s="13" t="s">
        <v>312</v>
      </c>
      <c r="L137" s="15" t="s">
        <v>291</v>
      </c>
    </row>
    <row r="138" spans="1:12" ht="40.5">
      <c r="A138" s="4" t="s">
        <v>313</v>
      </c>
      <c r="B138" t="s">
        <v>44</v>
      </c>
      <c r="C138" t="s">
        <v>45</v>
      </c>
      <c r="D138" s="13" t="s">
        <v>314</v>
      </c>
      <c r="E138" t="s">
        <v>47</v>
      </c>
      <c r="F138" t="s">
        <v>48</v>
      </c>
      <c r="G138" s="9">
        <v>4500000</v>
      </c>
      <c r="H138" s="9">
        <v>0</v>
      </c>
      <c r="I138" s="11">
        <v>0</v>
      </c>
      <c r="J138" t="s">
        <v>49</v>
      </c>
      <c r="K138" s="13" t="s">
        <v>315</v>
      </c>
      <c r="L138" s="15" t="s">
        <v>291</v>
      </c>
    </row>
    <row r="139" spans="1:12" ht="40.5">
      <c r="A139" s="4" t="s">
        <v>316</v>
      </c>
      <c r="B139" t="s">
        <v>44</v>
      </c>
      <c r="C139" t="s">
        <v>45</v>
      </c>
      <c r="D139" s="13" t="s">
        <v>317</v>
      </c>
      <c r="E139" t="s">
        <v>47</v>
      </c>
      <c r="F139" t="s">
        <v>48</v>
      </c>
      <c r="G139" s="9">
        <v>1980000</v>
      </c>
      <c r="H139" s="9">
        <v>0</v>
      </c>
      <c r="I139" s="11">
        <v>0</v>
      </c>
      <c r="J139" t="s">
        <v>49</v>
      </c>
      <c r="K139" s="13" t="s">
        <v>318</v>
      </c>
      <c r="L139" s="15" t="s">
        <v>291</v>
      </c>
    </row>
    <row r="140" spans="1:12" ht="40.5">
      <c r="A140" s="4" t="s">
        <v>319</v>
      </c>
      <c r="B140" t="s">
        <v>44</v>
      </c>
      <c r="C140" t="s">
        <v>45</v>
      </c>
      <c r="D140" s="13" t="s">
        <v>181</v>
      </c>
      <c r="E140" t="s">
        <v>47</v>
      </c>
      <c r="F140" t="s">
        <v>48</v>
      </c>
      <c r="G140" s="9">
        <v>4480000</v>
      </c>
      <c r="H140" s="9">
        <v>0</v>
      </c>
      <c r="I140" s="11">
        <v>0</v>
      </c>
      <c r="J140" t="s">
        <v>49</v>
      </c>
      <c r="K140" s="13" t="s">
        <v>320</v>
      </c>
      <c r="L140" s="15" t="s">
        <v>291</v>
      </c>
    </row>
    <row r="141" spans="1:12" ht="27">
      <c r="A141" s="4" t="s">
        <v>321</v>
      </c>
      <c r="B141" t="s">
        <v>44</v>
      </c>
      <c r="C141" t="s">
        <v>45</v>
      </c>
      <c r="D141" s="13" t="s">
        <v>322</v>
      </c>
      <c r="E141" t="s">
        <v>47</v>
      </c>
      <c r="F141" t="s">
        <v>48</v>
      </c>
      <c r="G141" s="9">
        <v>5120000</v>
      </c>
      <c r="H141" s="9">
        <v>0</v>
      </c>
      <c r="I141" s="11">
        <v>0</v>
      </c>
      <c r="J141" t="s">
        <v>49</v>
      </c>
      <c r="K141" s="13" t="s">
        <v>323</v>
      </c>
      <c r="L141" s="15" t="s">
        <v>260</v>
      </c>
    </row>
    <row r="142" spans="1:12" ht="27">
      <c r="A142" s="4" t="s">
        <v>324</v>
      </c>
      <c r="B142" t="s">
        <v>44</v>
      </c>
      <c r="C142" t="s">
        <v>45</v>
      </c>
      <c r="D142" s="13" t="s">
        <v>325</v>
      </c>
      <c r="E142" t="s">
        <v>47</v>
      </c>
      <c r="F142" t="s">
        <v>48</v>
      </c>
      <c r="G142" s="9">
        <v>147440000</v>
      </c>
      <c r="H142" s="9">
        <v>0</v>
      </c>
      <c r="I142" s="11">
        <v>0</v>
      </c>
      <c r="J142" t="s">
        <v>49</v>
      </c>
      <c r="K142" s="13" t="s">
        <v>326</v>
      </c>
      <c r="L142" s="15" t="s">
        <v>260</v>
      </c>
    </row>
    <row r="143" spans="1:12" ht="40.5">
      <c r="A143" s="4" t="s">
        <v>334</v>
      </c>
      <c r="B143" t="s">
        <v>44</v>
      </c>
      <c r="C143" t="s">
        <v>45</v>
      </c>
      <c r="D143" s="13" t="s">
        <v>335</v>
      </c>
      <c r="E143" t="s">
        <v>47</v>
      </c>
      <c r="F143" t="s">
        <v>84</v>
      </c>
      <c r="G143" s="9">
        <v>20800000</v>
      </c>
      <c r="H143" s="9">
        <v>20672036.16</v>
      </c>
      <c r="I143" s="11">
        <v>99</v>
      </c>
      <c r="J143" t="s">
        <v>49</v>
      </c>
      <c r="K143" s="13" t="s">
        <v>336</v>
      </c>
      <c r="L143" s="15" t="s">
        <v>260</v>
      </c>
    </row>
    <row r="144" spans="1:12" ht="40.5">
      <c r="A144" s="4" t="s">
        <v>338</v>
      </c>
      <c r="B144" t="s">
        <v>44</v>
      </c>
      <c r="C144" t="s">
        <v>45</v>
      </c>
      <c r="D144" s="13" t="s">
        <v>339</v>
      </c>
      <c r="E144" t="s">
        <v>47</v>
      </c>
      <c r="F144" t="s">
        <v>84</v>
      </c>
      <c r="G144" s="9">
        <v>164493000</v>
      </c>
      <c r="H144" s="9">
        <v>163947747.03</v>
      </c>
      <c r="I144" s="11">
        <v>100</v>
      </c>
      <c r="J144" t="s">
        <v>49</v>
      </c>
      <c r="K144" s="13" t="s">
        <v>340</v>
      </c>
      <c r="L144" s="15" t="s">
        <v>63</v>
      </c>
    </row>
    <row r="145" spans="1:12" ht="40.5">
      <c r="A145" s="4" t="s">
        <v>342</v>
      </c>
      <c r="B145" t="s">
        <v>44</v>
      </c>
      <c r="C145" t="s">
        <v>45</v>
      </c>
      <c r="D145" s="13" t="s">
        <v>343</v>
      </c>
      <c r="E145" t="s">
        <v>47</v>
      </c>
      <c r="F145" t="s">
        <v>84</v>
      </c>
      <c r="G145" s="9">
        <v>33920000</v>
      </c>
      <c r="H145" s="9">
        <v>33821665.920000002</v>
      </c>
      <c r="I145" s="11">
        <v>100</v>
      </c>
      <c r="J145" t="s">
        <v>49</v>
      </c>
      <c r="K145" s="13" t="s">
        <v>344</v>
      </c>
      <c r="L145" s="15" t="s">
        <v>345</v>
      </c>
    </row>
    <row r="146" spans="1:12" ht="40.5">
      <c r="A146" s="4" t="s">
        <v>347</v>
      </c>
      <c r="B146" t="s">
        <v>44</v>
      </c>
      <c r="C146" t="s">
        <v>45</v>
      </c>
      <c r="D146" s="13" t="s">
        <v>348</v>
      </c>
      <c r="E146" t="s">
        <v>47</v>
      </c>
      <c r="F146" t="s">
        <v>84</v>
      </c>
      <c r="G146" s="9">
        <v>61000000</v>
      </c>
      <c r="H146" s="9">
        <v>60627534</v>
      </c>
      <c r="I146" s="11">
        <v>99</v>
      </c>
      <c r="J146" t="s">
        <v>49</v>
      </c>
      <c r="K146" s="13" t="s">
        <v>349</v>
      </c>
      <c r="L146" s="15" t="s">
        <v>350</v>
      </c>
    </row>
    <row r="147" spans="1:12" ht="40.5">
      <c r="A147" s="4" t="s">
        <v>352</v>
      </c>
      <c r="B147" t="s">
        <v>44</v>
      </c>
      <c r="C147" t="s">
        <v>45</v>
      </c>
      <c r="D147" s="13" t="s">
        <v>353</v>
      </c>
      <c r="E147" t="s">
        <v>47</v>
      </c>
      <c r="F147" t="s">
        <v>48</v>
      </c>
      <c r="G147" s="9">
        <v>108000000</v>
      </c>
      <c r="H147" s="9">
        <v>0</v>
      </c>
      <c r="I147" s="11">
        <v>0</v>
      </c>
      <c r="J147" t="s">
        <v>49</v>
      </c>
      <c r="K147" s="13" t="s">
        <v>354</v>
      </c>
      <c r="L147" s="15" t="s">
        <v>350</v>
      </c>
    </row>
    <row r="148" spans="1:12" ht="27">
      <c r="A148" s="4" t="s">
        <v>355</v>
      </c>
      <c r="B148" t="s">
        <v>44</v>
      </c>
      <c r="C148" t="s">
        <v>45</v>
      </c>
      <c r="D148" s="13" t="s">
        <v>356</v>
      </c>
      <c r="E148" t="s">
        <v>47</v>
      </c>
      <c r="F148" t="s">
        <v>48</v>
      </c>
      <c r="G148" s="9">
        <v>65000000</v>
      </c>
      <c r="H148" s="9">
        <v>0</v>
      </c>
      <c r="I148" s="11">
        <v>0</v>
      </c>
      <c r="J148" t="s">
        <v>49</v>
      </c>
      <c r="K148" s="13" t="s">
        <v>357</v>
      </c>
      <c r="L148" s="15" t="s">
        <v>350</v>
      </c>
    </row>
    <row r="149" spans="1:12" ht="27">
      <c r="A149" s="4" t="s">
        <v>358</v>
      </c>
      <c r="B149" t="s">
        <v>44</v>
      </c>
      <c r="C149" t="s">
        <v>45</v>
      </c>
      <c r="D149" s="13" t="s">
        <v>359</v>
      </c>
      <c r="E149" t="s">
        <v>47</v>
      </c>
      <c r="F149" t="s">
        <v>48</v>
      </c>
      <c r="G149" s="9">
        <v>96552000</v>
      </c>
      <c r="H149" s="9">
        <v>0</v>
      </c>
      <c r="I149" s="11">
        <v>0</v>
      </c>
      <c r="J149" t="s">
        <v>49</v>
      </c>
      <c r="K149" s="13" t="s">
        <v>360</v>
      </c>
      <c r="L149" s="15" t="s">
        <v>350</v>
      </c>
    </row>
    <row r="150" spans="1:12" ht="27">
      <c r="A150" s="4" t="s">
        <v>361</v>
      </c>
      <c r="B150" t="s">
        <v>44</v>
      </c>
      <c r="C150" t="s">
        <v>45</v>
      </c>
      <c r="D150" s="13" t="s">
        <v>362</v>
      </c>
      <c r="E150" t="s">
        <v>47</v>
      </c>
      <c r="F150" t="s">
        <v>48</v>
      </c>
      <c r="G150" s="9">
        <v>62843000</v>
      </c>
      <c r="H150" s="9">
        <v>0</v>
      </c>
      <c r="I150" s="11">
        <v>0</v>
      </c>
      <c r="J150" t="s">
        <v>49</v>
      </c>
      <c r="K150" s="13" t="s">
        <v>363</v>
      </c>
      <c r="L150" s="15" t="s">
        <v>350</v>
      </c>
    </row>
    <row r="151" spans="1:12" ht="27">
      <c r="A151" s="4" t="s">
        <v>364</v>
      </c>
      <c r="B151" t="s">
        <v>44</v>
      </c>
      <c r="C151" t="s">
        <v>45</v>
      </c>
      <c r="D151" s="13" t="s">
        <v>365</v>
      </c>
      <c r="E151" t="s">
        <v>366</v>
      </c>
      <c r="F151" t="s">
        <v>48</v>
      </c>
      <c r="G151" s="9">
        <v>312000000</v>
      </c>
      <c r="H151" s="9">
        <v>0</v>
      </c>
      <c r="I151" s="11">
        <v>0</v>
      </c>
      <c r="J151" t="s">
        <v>49</v>
      </c>
      <c r="K151" s="13" t="s">
        <v>367</v>
      </c>
      <c r="L151" s="15" t="s">
        <v>368</v>
      </c>
    </row>
    <row r="152" spans="1:12" ht="27">
      <c r="A152" s="4" t="s">
        <v>369</v>
      </c>
      <c r="B152" t="s">
        <v>44</v>
      </c>
      <c r="C152" t="s">
        <v>45</v>
      </c>
      <c r="D152" s="13" t="s">
        <v>370</v>
      </c>
      <c r="E152" t="s">
        <v>366</v>
      </c>
      <c r="F152" t="s">
        <v>48</v>
      </c>
      <c r="G152" s="9">
        <v>312000000</v>
      </c>
      <c r="H152" s="9">
        <v>0</v>
      </c>
      <c r="I152" s="11">
        <v>0</v>
      </c>
      <c r="J152" t="s">
        <v>49</v>
      </c>
      <c r="K152" s="13" t="s">
        <v>371</v>
      </c>
      <c r="L152" s="15" t="s">
        <v>260</v>
      </c>
    </row>
    <row r="153" spans="1:12" ht="27">
      <c r="A153" s="4" t="s">
        <v>372</v>
      </c>
      <c r="B153" t="s">
        <v>44</v>
      </c>
      <c r="C153" t="s">
        <v>45</v>
      </c>
      <c r="D153" s="13" t="s">
        <v>373</v>
      </c>
      <c r="E153" t="s">
        <v>366</v>
      </c>
      <c r="F153" t="s">
        <v>48</v>
      </c>
      <c r="G153" s="9">
        <v>18000000</v>
      </c>
      <c r="H153" s="9">
        <v>0</v>
      </c>
      <c r="I153" s="11">
        <v>0</v>
      </c>
      <c r="J153" t="s">
        <v>49</v>
      </c>
      <c r="K153" s="13" t="s">
        <v>374</v>
      </c>
      <c r="L153" s="15" t="s">
        <v>260</v>
      </c>
    </row>
    <row r="154" spans="1:12" ht="27">
      <c r="A154" s="4" t="s">
        <v>375</v>
      </c>
      <c r="B154" t="s">
        <v>44</v>
      </c>
      <c r="C154" t="s">
        <v>45</v>
      </c>
      <c r="D154" s="13" t="s">
        <v>376</v>
      </c>
      <c r="E154" t="s">
        <v>47</v>
      </c>
      <c r="F154" t="s">
        <v>84</v>
      </c>
      <c r="G154" s="9">
        <v>71000000</v>
      </c>
      <c r="H154" s="9">
        <v>70584480.420000002</v>
      </c>
      <c r="I154" s="11">
        <v>99</v>
      </c>
      <c r="J154" t="s">
        <v>49</v>
      </c>
      <c r="K154" s="13" t="s">
        <v>377</v>
      </c>
      <c r="L154" s="15" t="s">
        <v>260</v>
      </c>
    </row>
    <row r="155" spans="1:12" ht="27">
      <c r="A155" s="4" t="s">
        <v>379</v>
      </c>
      <c r="B155" t="s">
        <v>44</v>
      </c>
      <c r="C155" t="s">
        <v>45</v>
      </c>
      <c r="D155" s="13" t="s">
        <v>380</v>
      </c>
      <c r="E155" t="s">
        <v>47</v>
      </c>
      <c r="F155" t="s">
        <v>84</v>
      </c>
      <c r="G155" s="9">
        <v>169000000</v>
      </c>
      <c r="H155" s="9">
        <v>167890319.40000001</v>
      </c>
      <c r="I155" s="11">
        <v>99</v>
      </c>
      <c r="J155" t="s">
        <v>49</v>
      </c>
      <c r="K155" s="13" t="s">
        <v>381</v>
      </c>
      <c r="L155" s="15" t="s">
        <v>260</v>
      </c>
    </row>
    <row r="156" spans="1:12" ht="27">
      <c r="A156" s="4" t="s">
        <v>383</v>
      </c>
      <c r="B156" t="s">
        <v>44</v>
      </c>
      <c r="C156" t="s">
        <v>45</v>
      </c>
      <c r="D156" s="13" t="s">
        <v>384</v>
      </c>
      <c r="E156" t="s">
        <v>47</v>
      </c>
      <c r="F156" t="s">
        <v>84</v>
      </c>
      <c r="G156" s="9">
        <v>133500000</v>
      </c>
      <c r="H156" s="9">
        <v>133282251</v>
      </c>
      <c r="I156" s="11">
        <v>100</v>
      </c>
      <c r="J156" t="s">
        <v>49</v>
      </c>
      <c r="K156" s="13" t="s">
        <v>385</v>
      </c>
      <c r="L156" s="15" t="s">
        <v>260</v>
      </c>
    </row>
    <row r="157" spans="1:12" ht="27">
      <c r="A157" s="4" t="s">
        <v>392</v>
      </c>
      <c r="B157" t="s">
        <v>44</v>
      </c>
      <c r="C157" t="s">
        <v>45</v>
      </c>
      <c r="D157" s="13" t="s">
        <v>83</v>
      </c>
      <c r="E157" t="s">
        <v>47</v>
      </c>
      <c r="F157" t="s">
        <v>48</v>
      </c>
      <c r="G157" s="9">
        <v>153000000</v>
      </c>
      <c r="H157" s="9">
        <v>0</v>
      </c>
      <c r="I157" s="11">
        <v>0</v>
      </c>
      <c r="J157" t="s">
        <v>49</v>
      </c>
      <c r="K157" s="13" t="s">
        <v>393</v>
      </c>
      <c r="L157" s="15" t="s">
        <v>350</v>
      </c>
    </row>
    <row r="158" spans="1:12" ht="40.5">
      <c r="A158" s="4" t="s">
        <v>394</v>
      </c>
      <c r="B158" t="s">
        <v>44</v>
      </c>
      <c r="C158" t="s">
        <v>45</v>
      </c>
      <c r="D158" s="13" t="s">
        <v>69</v>
      </c>
      <c r="E158" t="s">
        <v>47</v>
      </c>
      <c r="F158" t="s">
        <v>48</v>
      </c>
      <c r="G158" s="9">
        <v>131400000</v>
      </c>
      <c r="H158" s="9">
        <v>0</v>
      </c>
      <c r="I158" s="11">
        <v>0</v>
      </c>
      <c r="J158" t="s">
        <v>49</v>
      </c>
      <c r="K158" s="13" t="s">
        <v>395</v>
      </c>
      <c r="L158" s="15" t="s">
        <v>396</v>
      </c>
    </row>
    <row r="159" spans="1:12" ht="27">
      <c r="A159" s="4" t="s">
        <v>397</v>
      </c>
      <c r="B159" t="s">
        <v>44</v>
      </c>
      <c r="C159" t="s">
        <v>45</v>
      </c>
      <c r="D159" s="13" t="s">
        <v>72</v>
      </c>
      <c r="E159" t="s">
        <v>47</v>
      </c>
      <c r="F159" t="s">
        <v>48</v>
      </c>
      <c r="G159" s="9">
        <v>58400000</v>
      </c>
      <c r="H159" s="9">
        <v>0</v>
      </c>
      <c r="I159" s="11">
        <v>0</v>
      </c>
      <c r="J159" t="s">
        <v>49</v>
      </c>
      <c r="K159" s="13" t="s">
        <v>398</v>
      </c>
      <c r="L159" s="15" t="s">
        <v>350</v>
      </c>
    </row>
    <row r="160" spans="1:12" ht="27">
      <c r="A160" s="4" t="s">
        <v>399</v>
      </c>
      <c r="B160" t="s">
        <v>44</v>
      </c>
      <c r="C160" t="s">
        <v>45</v>
      </c>
      <c r="D160" s="13" t="s">
        <v>67</v>
      </c>
      <c r="E160" t="s">
        <v>47</v>
      </c>
      <c r="F160" t="s">
        <v>48</v>
      </c>
      <c r="G160" s="9">
        <v>102200000</v>
      </c>
      <c r="H160" s="9">
        <v>0</v>
      </c>
      <c r="I160" s="11">
        <v>0</v>
      </c>
      <c r="J160" t="s">
        <v>49</v>
      </c>
      <c r="K160" s="13" t="s">
        <v>400</v>
      </c>
      <c r="L160" s="15" t="s">
        <v>350</v>
      </c>
    </row>
    <row r="161" spans="1:12" ht="27">
      <c r="A161" s="4" t="s">
        <v>404</v>
      </c>
      <c r="B161" t="s">
        <v>44</v>
      </c>
      <c r="C161" t="s">
        <v>45</v>
      </c>
      <c r="D161" s="13" t="s">
        <v>80</v>
      </c>
      <c r="E161" t="s">
        <v>47</v>
      </c>
      <c r="F161" t="s">
        <v>48</v>
      </c>
      <c r="G161" s="9">
        <v>160000</v>
      </c>
      <c r="H161" s="9">
        <v>0</v>
      </c>
      <c r="I161" s="11">
        <v>0</v>
      </c>
      <c r="J161" t="s">
        <v>49</v>
      </c>
      <c r="K161" s="13" t="s">
        <v>405</v>
      </c>
      <c r="L161" s="15" t="s">
        <v>260</v>
      </c>
    </row>
    <row r="162" spans="1:12" ht="27">
      <c r="A162" s="4" t="s">
        <v>406</v>
      </c>
      <c r="B162" t="s">
        <v>44</v>
      </c>
      <c r="C162" t="s">
        <v>45</v>
      </c>
      <c r="D162" s="13" t="s">
        <v>407</v>
      </c>
      <c r="E162" t="s">
        <v>47</v>
      </c>
      <c r="F162" t="s">
        <v>48</v>
      </c>
      <c r="G162" s="9">
        <v>1000000</v>
      </c>
      <c r="H162" s="9">
        <v>0</v>
      </c>
      <c r="I162" s="11">
        <v>0</v>
      </c>
      <c r="J162" t="s">
        <v>49</v>
      </c>
      <c r="K162" s="13" t="s">
        <v>408</v>
      </c>
      <c r="L162" s="15" t="s">
        <v>260</v>
      </c>
    </row>
    <row r="163" spans="1:12" ht="27">
      <c r="A163" s="4" t="s">
        <v>409</v>
      </c>
      <c r="B163" t="s">
        <v>44</v>
      </c>
      <c r="C163" t="s">
        <v>45</v>
      </c>
      <c r="D163" s="13" t="s">
        <v>72</v>
      </c>
      <c r="E163" t="s">
        <v>47</v>
      </c>
      <c r="F163" t="s">
        <v>48</v>
      </c>
      <c r="G163" s="9">
        <v>1900000</v>
      </c>
      <c r="H163" s="9">
        <v>0</v>
      </c>
      <c r="I163" s="11">
        <v>0</v>
      </c>
      <c r="J163" t="s">
        <v>49</v>
      </c>
      <c r="K163" s="13" t="s">
        <v>410</v>
      </c>
      <c r="L163" s="15" t="s">
        <v>171</v>
      </c>
    </row>
    <row r="164" spans="1:12" ht="27">
      <c r="A164" s="4" t="s">
        <v>411</v>
      </c>
      <c r="B164" t="s">
        <v>44</v>
      </c>
      <c r="C164" t="s">
        <v>45</v>
      </c>
      <c r="D164" s="13" t="s">
        <v>69</v>
      </c>
      <c r="E164" t="s">
        <v>47</v>
      </c>
      <c r="F164" t="s">
        <v>48</v>
      </c>
      <c r="G164" s="9">
        <v>4275000</v>
      </c>
      <c r="H164" s="9">
        <v>0</v>
      </c>
      <c r="I164" s="11">
        <v>0</v>
      </c>
      <c r="J164" t="s">
        <v>49</v>
      </c>
      <c r="K164" s="13" t="s">
        <v>412</v>
      </c>
      <c r="L164" s="15" t="s">
        <v>260</v>
      </c>
    </row>
    <row r="165" spans="1:12" ht="27">
      <c r="A165" s="4" t="s">
        <v>413</v>
      </c>
      <c r="B165" t="s">
        <v>44</v>
      </c>
      <c r="C165" t="s">
        <v>45</v>
      </c>
      <c r="D165" s="13" t="s">
        <v>725</v>
      </c>
      <c r="E165" t="s">
        <v>47</v>
      </c>
      <c r="F165" t="s">
        <v>48</v>
      </c>
      <c r="G165" s="9">
        <v>85500000</v>
      </c>
      <c r="H165" s="9">
        <v>0</v>
      </c>
      <c r="I165" s="11">
        <v>0</v>
      </c>
      <c r="J165" t="s">
        <v>49</v>
      </c>
      <c r="K165" s="13" t="s">
        <v>415</v>
      </c>
      <c r="L165" s="15" t="s">
        <v>350</v>
      </c>
    </row>
    <row r="166" spans="1:12" ht="27">
      <c r="A166" s="4" t="s">
        <v>417</v>
      </c>
      <c r="B166" t="s">
        <v>44</v>
      </c>
      <c r="C166" t="s">
        <v>45</v>
      </c>
      <c r="D166" s="13" t="s">
        <v>418</v>
      </c>
      <c r="E166" t="s">
        <v>47</v>
      </c>
      <c r="F166" t="s">
        <v>48</v>
      </c>
      <c r="G166" s="9">
        <v>20160000</v>
      </c>
      <c r="H166" s="9">
        <v>0</v>
      </c>
      <c r="I166" s="11">
        <v>0</v>
      </c>
      <c r="J166" t="s">
        <v>49</v>
      </c>
      <c r="K166" s="13" t="s">
        <v>419</v>
      </c>
      <c r="L166" s="15" t="s">
        <v>260</v>
      </c>
    </row>
    <row r="167" spans="1:12" ht="27">
      <c r="A167" s="4" t="s">
        <v>420</v>
      </c>
      <c r="B167" t="s">
        <v>44</v>
      </c>
      <c r="C167" t="s">
        <v>45</v>
      </c>
      <c r="D167" s="13" t="s">
        <v>421</v>
      </c>
      <c r="E167" t="s">
        <v>47</v>
      </c>
      <c r="F167" t="s">
        <v>48</v>
      </c>
      <c r="G167" s="9">
        <v>4800000</v>
      </c>
      <c r="H167" s="9">
        <v>0</v>
      </c>
      <c r="I167" s="11">
        <v>0</v>
      </c>
      <c r="J167" t="s">
        <v>49</v>
      </c>
      <c r="K167" s="13" t="s">
        <v>422</v>
      </c>
      <c r="L167" s="15" t="s">
        <v>260</v>
      </c>
    </row>
    <row r="168" spans="1:12" ht="27">
      <c r="A168" s="4" t="s">
        <v>423</v>
      </c>
      <c r="B168" t="s">
        <v>44</v>
      </c>
      <c r="C168" t="s">
        <v>45</v>
      </c>
      <c r="D168" s="13" t="s">
        <v>424</v>
      </c>
      <c r="E168" t="s">
        <v>47</v>
      </c>
      <c r="F168" t="s">
        <v>48</v>
      </c>
      <c r="G168" s="9">
        <v>4800000</v>
      </c>
      <c r="H168" s="9">
        <v>0</v>
      </c>
      <c r="I168" s="11">
        <v>0</v>
      </c>
      <c r="J168" t="s">
        <v>49</v>
      </c>
      <c r="K168" s="13" t="s">
        <v>422</v>
      </c>
      <c r="L168" s="15" t="s">
        <v>260</v>
      </c>
    </row>
    <row r="169" spans="1:12" ht="27">
      <c r="A169" s="4" t="s">
        <v>425</v>
      </c>
      <c r="B169" t="s">
        <v>44</v>
      </c>
      <c r="C169" t="s">
        <v>45</v>
      </c>
      <c r="D169" s="13" t="s">
        <v>208</v>
      </c>
      <c r="E169" t="s">
        <v>47</v>
      </c>
      <c r="F169" t="s">
        <v>48</v>
      </c>
      <c r="G169" s="9">
        <v>21600000</v>
      </c>
      <c r="H169" s="9">
        <v>0</v>
      </c>
      <c r="I169" s="11">
        <v>0</v>
      </c>
      <c r="J169" t="s">
        <v>49</v>
      </c>
      <c r="K169" s="13" t="s">
        <v>426</v>
      </c>
      <c r="L169" s="15" t="s">
        <v>260</v>
      </c>
    </row>
    <row r="170" spans="1:12" ht="27">
      <c r="A170" s="4" t="s">
        <v>427</v>
      </c>
      <c r="B170" t="s">
        <v>44</v>
      </c>
      <c r="C170" t="s">
        <v>45</v>
      </c>
      <c r="D170" s="13" t="s">
        <v>428</v>
      </c>
      <c r="E170" t="s">
        <v>47</v>
      </c>
      <c r="F170" t="s">
        <v>48</v>
      </c>
      <c r="G170" s="9">
        <v>750000</v>
      </c>
      <c r="H170" s="9">
        <v>0</v>
      </c>
      <c r="I170" s="11">
        <v>0</v>
      </c>
      <c r="J170" t="s">
        <v>49</v>
      </c>
      <c r="K170" s="13" t="s">
        <v>429</v>
      </c>
      <c r="L170" s="15" t="s">
        <v>260</v>
      </c>
    </row>
    <row r="171" spans="1:12" ht="27">
      <c r="A171" s="4" t="s">
        <v>430</v>
      </c>
      <c r="B171" t="s">
        <v>44</v>
      </c>
      <c r="C171" t="s">
        <v>45</v>
      </c>
      <c r="D171" s="13" t="s">
        <v>431</v>
      </c>
      <c r="E171" t="s">
        <v>47</v>
      </c>
      <c r="F171" t="s">
        <v>48</v>
      </c>
      <c r="G171" s="9">
        <v>7270000</v>
      </c>
      <c r="H171" s="9">
        <v>0</v>
      </c>
      <c r="I171" s="11">
        <v>0</v>
      </c>
      <c r="J171" t="s">
        <v>49</v>
      </c>
      <c r="K171" s="13" t="s">
        <v>432</v>
      </c>
      <c r="L171" s="15" t="s">
        <v>260</v>
      </c>
    </row>
    <row r="172" spans="1:12" ht="27">
      <c r="A172" s="4" t="s">
        <v>433</v>
      </c>
      <c r="B172" t="s">
        <v>44</v>
      </c>
      <c r="C172" t="s">
        <v>45</v>
      </c>
      <c r="D172" s="13" t="s">
        <v>208</v>
      </c>
      <c r="E172" t="s">
        <v>47</v>
      </c>
      <c r="F172" t="s">
        <v>48</v>
      </c>
      <c r="G172" s="9">
        <v>4800000</v>
      </c>
      <c r="H172" s="9">
        <v>0</v>
      </c>
      <c r="I172" s="11">
        <v>0</v>
      </c>
      <c r="J172" t="s">
        <v>49</v>
      </c>
      <c r="K172" s="13" t="s">
        <v>422</v>
      </c>
      <c r="L172" s="15" t="s">
        <v>260</v>
      </c>
    </row>
    <row r="173" spans="1:12" ht="27">
      <c r="A173" s="4" t="s">
        <v>434</v>
      </c>
      <c r="B173" t="s">
        <v>44</v>
      </c>
      <c r="C173" t="s">
        <v>45</v>
      </c>
      <c r="D173" s="13" t="s">
        <v>435</v>
      </c>
      <c r="E173" t="s">
        <v>47</v>
      </c>
      <c r="F173" t="s">
        <v>48</v>
      </c>
      <c r="G173" s="9">
        <v>1250000</v>
      </c>
      <c r="H173" s="9">
        <v>0</v>
      </c>
      <c r="I173" s="11">
        <v>0</v>
      </c>
      <c r="J173" t="s">
        <v>49</v>
      </c>
      <c r="K173" s="13" t="s">
        <v>436</v>
      </c>
      <c r="L173" s="15" t="s">
        <v>260</v>
      </c>
    </row>
    <row r="174" spans="1:12" ht="27">
      <c r="A174" s="4" t="s">
        <v>437</v>
      </c>
      <c r="B174" t="s">
        <v>44</v>
      </c>
      <c r="C174" t="s">
        <v>45</v>
      </c>
      <c r="D174" s="13" t="s">
        <v>438</v>
      </c>
      <c r="E174" t="s">
        <v>47</v>
      </c>
      <c r="F174" t="s">
        <v>48</v>
      </c>
      <c r="G174" s="9">
        <v>5120000</v>
      </c>
      <c r="H174" s="9">
        <v>0</v>
      </c>
      <c r="I174" s="11">
        <v>0</v>
      </c>
      <c r="J174" t="s">
        <v>49</v>
      </c>
      <c r="K174" s="13" t="s">
        <v>439</v>
      </c>
      <c r="L174" s="15" t="s">
        <v>260</v>
      </c>
    </row>
    <row r="175" spans="1:12" ht="27">
      <c r="A175" s="4" t="s">
        <v>440</v>
      </c>
      <c r="B175" t="s">
        <v>44</v>
      </c>
      <c r="C175" t="s">
        <v>45</v>
      </c>
      <c r="D175" s="13" t="s">
        <v>441</v>
      </c>
      <c r="E175" t="s">
        <v>47</v>
      </c>
      <c r="F175" t="s">
        <v>48</v>
      </c>
      <c r="G175" s="9">
        <v>23040000</v>
      </c>
      <c r="H175" s="9">
        <v>0</v>
      </c>
      <c r="I175" s="11">
        <v>0</v>
      </c>
      <c r="J175" t="s">
        <v>49</v>
      </c>
      <c r="K175" s="13" t="s">
        <v>442</v>
      </c>
      <c r="L175" s="15" t="s">
        <v>260</v>
      </c>
    </row>
    <row r="176" spans="1:12" ht="27">
      <c r="A176" s="4" t="s">
        <v>443</v>
      </c>
      <c r="B176" t="s">
        <v>44</v>
      </c>
      <c r="C176" t="s">
        <v>45</v>
      </c>
      <c r="D176" s="13" t="s">
        <v>444</v>
      </c>
      <c r="E176" t="s">
        <v>47</v>
      </c>
      <c r="F176" t="s">
        <v>48</v>
      </c>
      <c r="G176" s="9">
        <v>8000000</v>
      </c>
      <c r="H176" s="9">
        <v>0</v>
      </c>
      <c r="I176" s="11">
        <v>0</v>
      </c>
      <c r="J176" t="s">
        <v>49</v>
      </c>
      <c r="K176" s="13" t="s">
        <v>445</v>
      </c>
      <c r="L176" s="15" t="s">
        <v>260</v>
      </c>
    </row>
    <row r="177" spans="1:12" ht="27">
      <c r="A177" s="4" t="s">
        <v>446</v>
      </c>
      <c r="B177" t="s">
        <v>44</v>
      </c>
      <c r="C177" t="s">
        <v>45</v>
      </c>
      <c r="D177" s="13" t="s">
        <v>447</v>
      </c>
      <c r="E177" t="s">
        <v>47</v>
      </c>
      <c r="F177" t="s">
        <v>48</v>
      </c>
      <c r="G177" s="9">
        <v>800000</v>
      </c>
      <c r="H177" s="9">
        <v>0</v>
      </c>
      <c r="I177" s="11">
        <v>0</v>
      </c>
      <c r="J177" t="s">
        <v>49</v>
      </c>
      <c r="K177" s="13" t="s">
        <v>448</v>
      </c>
      <c r="L177" s="15" t="s">
        <v>260</v>
      </c>
    </row>
    <row r="178" spans="1:12" ht="27">
      <c r="A178" s="4" t="s">
        <v>449</v>
      </c>
      <c r="B178" t="s">
        <v>44</v>
      </c>
      <c r="C178" t="s">
        <v>45</v>
      </c>
      <c r="D178" s="13" t="s">
        <v>450</v>
      </c>
      <c r="E178" t="s">
        <v>47</v>
      </c>
      <c r="F178" t="s">
        <v>48</v>
      </c>
      <c r="G178" s="9">
        <v>12000000</v>
      </c>
      <c r="H178" s="9">
        <v>0</v>
      </c>
      <c r="I178" s="11">
        <v>0</v>
      </c>
      <c r="J178" t="s">
        <v>49</v>
      </c>
      <c r="K178" s="13" t="s">
        <v>451</v>
      </c>
      <c r="L178" s="15" t="s">
        <v>260</v>
      </c>
    </row>
    <row r="179" spans="1:12" ht="27">
      <c r="A179" s="4" t="s">
        <v>452</v>
      </c>
      <c r="B179" t="s">
        <v>44</v>
      </c>
      <c r="C179" t="s">
        <v>45</v>
      </c>
      <c r="D179" s="13" t="s">
        <v>453</v>
      </c>
      <c r="E179" t="s">
        <v>47</v>
      </c>
      <c r="F179" t="s">
        <v>48</v>
      </c>
      <c r="G179" s="9">
        <v>16500000</v>
      </c>
      <c r="H179" s="9">
        <v>0</v>
      </c>
      <c r="I179" s="11">
        <v>0</v>
      </c>
      <c r="J179" t="s">
        <v>49</v>
      </c>
      <c r="K179" s="13" t="s">
        <v>454</v>
      </c>
      <c r="L179" s="15" t="s">
        <v>260</v>
      </c>
    </row>
    <row r="180" spans="1:12" ht="27">
      <c r="A180" s="4" t="s">
        <v>455</v>
      </c>
      <c r="B180" t="s">
        <v>44</v>
      </c>
      <c r="C180" t="s">
        <v>45</v>
      </c>
      <c r="D180" s="13" t="s">
        <v>456</v>
      </c>
      <c r="E180" t="s">
        <v>47</v>
      </c>
      <c r="F180" t="s">
        <v>48</v>
      </c>
      <c r="G180" s="9">
        <v>35000000</v>
      </c>
      <c r="H180" s="9">
        <v>0</v>
      </c>
      <c r="I180" s="11">
        <v>0</v>
      </c>
      <c r="J180" t="s">
        <v>49</v>
      </c>
      <c r="K180" s="13" t="s">
        <v>457</v>
      </c>
      <c r="L180" s="15" t="s">
        <v>260</v>
      </c>
    </row>
    <row r="181" spans="1:12" ht="27">
      <c r="A181" s="4" t="s">
        <v>458</v>
      </c>
      <c r="B181" t="s">
        <v>44</v>
      </c>
      <c r="C181" t="s">
        <v>45</v>
      </c>
      <c r="D181" s="13" t="s">
        <v>459</v>
      </c>
      <c r="E181" t="s">
        <v>47</v>
      </c>
      <c r="F181" t="s">
        <v>48</v>
      </c>
      <c r="G181" s="9">
        <v>55500000</v>
      </c>
      <c r="H181" s="9">
        <v>0</v>
      </c>
      <c r="I181" s="11">
        <v>0</v>
      </c>
      <c r="J181" t="s">
        <v>49</v>
      </c>
      <c r="K181" s="13" t="s">
        <v>460</v>
      </c>
      <c r="L181" s="15" t="s">
        <v>350</v>
      </c>
    </row>
    <row r="182" spans="1:12" ht="27">
      <c r="A182" s="4" t="s">
        <v>461</v>
      </c>
      <c r="B182" t="s">
        <v>44</v>
      </c>
      <c r="C182" t="s">
        <v>45</v>
      </c>
      <c r="D182" s="13" t="s">
        <v>462</v>
      </c>
      <c r="E182" t="s">
        <v>47</v>
      </c>
      <c r="F182" t="s">
        <v>48</v>
      </c>
      <c r="G182" s="9">
        <v>8750000</v>
      </c>
      <c r="H182" s="9">
        <v>0</v>
      </c>
      <c r="I182" s="11">
        <v>0</v>
      </c>
      <c r="J182" t="s">
        <v>49</v>
      </c>
      <c r="K182" s="13" t="s">
        <v>463</v>
      </c>
      <c r="L182" s="15" t="s">
        <v>260</v>
      </c>
    </row>
    <row r="183" spans="1:12" ht="40.5">
      <c r="A183" s="4" t="s">
        <v>464</v>
      </c>
      <c r="B183" t="s">
        <v>44</v>
      </c>
      <c r="C183" t="s">
        <v>45</v>
      </c>
      <c r="D183" s="13" t="s">
        <v>465</v>
      </c>
      <c r="E183" t="s">
        <v>47</v>
      </c>
      <c r="F183" t="s">
        <v>84</v>
      </c>
      <c r="G183" s="9">
        <v>852000000</v>
      </c>
      <c r="H183" s="9">
        <v>75909331.349999994</v>
      </c>
      <c r="I183" s="11">
        <v>9</v>
      </c>
      <c r="J183" t="s">
        <v>466</v>
      </c>
      <c r="K183" s="13" t="s">
        <v>467</v>
      </c>
      <c r="L183" s="15" t="s">
        <v>468</v>
      </c>
    </row>
    <row r="184" spans="1:12" ht="40.5">
      <c r="A184" s="4" t="s">
        <v>470</v>
      </c>
      <c r="B184" t="s">
        <v>44</v>
      </c>
      <c r="C184" t="s">
        <v>45</v>
      </c>
      <c r="D184" s="13" t="s">
        <v>471</v>
      </c>
      <c r="E184" t="s">
        <v>47</v>
      </c>
      <c r="F184" t="s">
        <v>48</v>
      </c>
      <c r="G184" s="9">
        <v>2704000</v>
      </c>
      <c r="H184" s="9">
        <v>0</v>
      </c>
      <c r="I184" s="11">
        <v>0</v>
      </c>
      <c r="J184" t="s">
        <v>49</v>
      </c>
      <c r="K184" s="13" t="s">
        <v>472</v>
      </c>
      <c r="L184" s="15" t="s">
        <v>63</v>
      </c>
    </row>
    <row r="185" spans="1:12" ht="27">
      <c r="A185" s="4" t="s">
        <v>473</v>
      </c>
      <c r="B185" t="s">
        <v>44</v>
      </c>
      <c r="C185" t="s">
        <v>45</v>
      </c>
      <c r="D185" s="13" t="s">
        <v>474</v>
      </c>
      <c r="E185" t="s">
        <v>47</v>
      </c>
      <c r="F185" t="s">
        <v>48</v>
      </c>
      <c r="G185" s="9">
        <v>51000000</v>
      </c>
      <c r="H185" s="9">
        <v>0</v>
      </c>
      <c r="I185" s="11">
        <v>0</v>
      </c>
      <c r="J185" t="s">
        <v>49</v>
      </c>
      <c r="K185" s="13" t="s">
        <v>475</v>
      </c>
      <c r="L185" s="15" t="s">
        <v>350</v>
      </c>
    </row>
    <row r="186" spans="1:12" ht="27">
      <c r="A186" s="4" t="s">
        <v>476</v>
      </c>
      <c r="B186" t="s">
        <v>44</v>
      </c>
      <c r="C186" t="s">
        <v>45</v>
      </c>
      <c r="D186" s="13" t="s">
        <v>477</v>
      </c>
      <c r="E186" t="s">
        <v>47</v>
      </c>
      <c r="F186" t="s">
        <v>48</v>
      </c>
      <c r="G186" s="9">
        <v>8750000</v>
      </c>
      <c r="H186" s="9">
        <v>0</v>
      </c>
      <c r="I186" s="11">
        <v>0</v>
      </c>
      <c r="J186" t="s">
        <v>49</v>
      </c>
      <c r="K186" s="13" t="s">
        <v>463</v>
      </c>
      <c r="L186" s="15" t="s">
        <v>260</v>
      </c>
    </row>
    <row r="187" spans="1:12" ht="27">
      <c r="A187" s="4" t="s">
        <v>478</v>
      </c>
      <c r="B187" t="s">
        <v>44</v>
      </c>
      <c r="C187" t="s">
        <v>45</v>
      </c>
      <c r="D187" s="13" t="s">
        <v>479</v>
      </c>
      <c r="E187" t="s">
        <v>47</v>
      </c>
      <c r="F187" t="s">
        <v>48</v>
      </c>
      <c r="G187" s="9">
        <v>6250000</v>
      </c>
      <c r="H187" s="9">
        <v>0</v>
      </c>
      <c r="I187" s="11">
        <v>0</v>
      </c>
      <c r="J187" t="s">
        <v>49</v>
      </c>
      <c r="K187" s="13" t="s">
        <v>480</v>
      </c>
      <c r="L187" s="15" t="s">
        <v>260</v>
      </c>
    </row>
    <row r="188" spans="1:12" ht="27">
      <c r="A188" s="4" t="s">
        <v>481</v>
      </c>
      <c r="B188" t="s">
        <v>44</v>
      </c>
      <c r="C188" t="s">
        <v>45</v>
      </c>
      <c r="D188" s="13" t="s">
        <v>482</v>
      </c>
      <c r="E188" t="s">
        <v>47</v>
      </c>
      <c r="F188" t="s">
        <v>48</v>
      </c>
      <c r="G188" s="9">
        <v>64000000</v>
      </c>
      <c r="H188" s="9">
        <v>0</v>
      </c>
      <c r="I188" s="11">
        <v>0</v>
      </c>
      <c r="J188" t="s">
        <v>49</v>
      </c>
      <c r="K188" s="13" t="s">
        <v>483</v>
      </c>
      <c r="L188" s="15" t="s">
        <v>350</v>
      </c>
    </row>
    <row r="189" spans="1:12" ht="40.5">
      <c r="A189" s="4" t="s">
        <v>485</v>
      </c>
      <c r="B189" t="s">
        <v>44</v>
      </c>
      <c r="C189" t="s">
        <v>45</v>
      </c>
      <c r="D189" s="13" t="s">
        <v>486</v>
      </c>
      <c r="E189" t="s">
        <v>47</v>
      </c>
      <c r="F189" t="s">
        <v>48</v>
      </c>
      <c r="G189" s="9">
        <v>227200000</v>
      </c>
      <c r="H189" s="9">
        <v>0</v>
      </c>
      <c r="I189" s="11">
        <v>0</v>
      </c>
      <c r="J189" t="s">
        <v>466</v>
      </c>
      <c r="K189" s="13" t="s">
        <v>487</v>
      </c>
      <c r="L189" s="15" t="s">
        <v>468</v>
      </c>
    </row>
    <row r="190" spans="1:12" ht="27">
      <c r="A190" s="4" t="s">
        <v>488</v>
      </c>
      <c r="B190" t="s">
        <v>44</v>
      </c>
      <c r="C190" t="s">
        <v>45</v>
      </c>
      <c r="D190" s="13" t="s">
        <v>489</v>
      </c>
      <c r="E190" t="s">
        <v>47</v>
      </c>
      <c r="F190" t="s">
        <v>48</v>
      </c>
      <c r="G190" s="9">
        <v>17750000</v>
      </c>
      <c r="H190" s="9">
        <v>0</v>
      </c>
      <c r="I190" s="11">
        <v>0</v>
      </c>
      <c r="J190" t="s">
        <v>49</v>
      </c>
      <c r="K190" s="13" t="s">
        <v>490</v>
      </c>
      <c r="L190" s="15" t="s">
        <v>260</v>
      </c>
    </row>
    <row r="191" spans="1:12" ht="40.5">
      <c r="A191" s="4" t="s">
        <v>491</v>
      </c>
      <c r="B191" t="s">
        <v>44</v>
      </c>
      <c r="C191" t="s">
        <v>45</v>
      </c>
      <c r="D191" s="13" t="s">
        <v>492</v>
      </c>
      <c r="E191" t="s">
        <v>47</v>
      </c>
      <c r="F191" t="s">
        <v>48</v>
      </c>
      <c r="G191" s="9">
        <v>300000000</v>
      </c>
      <c r="H191" s="9">
        <v>0</v>
      </c>
      <c r="I191" s="11">
        <v>0</v>
      </c>
      <c r="J191" t="s">
        <v>466</v>
      </c>
      <c r="K191" s="13" t="s">
        <v>493</v>
      </c>
      <c r="L191" s="15" t="s">
        <v>468</v>
      </c>
    </row>
    <row r="192" spans="1:12" ht="27">
      <c r="A192" s="4" t="s">
        <v>497</v>
      </c>
      <c r="B192" t="s">
        <v>44</v>
      </c>
      <c r="C192" t="s">
        <v>45</v>
      </c>
      <c r="D192" s="13" t="s">
        <v>498</v>
      </c>
      <c r="E192" t="s">
        <v>47</v>
      </c>
      <c r="F192" t="s">
        <v>48</v>
      </c>
      <c r="G192" s="9">
        <v>22541000</v>
      </c>
      <c r="H192" s="9">
        <v>0</v>
      </c>
      <c r="I192" s="11">
        <v>0</v>
      </c>
      <c r="J192" t="s">
        <v>49</v>
      </c>
      <c r="K192" s="13" t="s">
        <v>499</v>
      </c>
      <c r="L192" s="15" t="s">
        <v>260</v>
      </c>
    </row>
    <row r="193" spans="1:12" ht="27">
      <c r="A193" s="4" t="s">
        <v>500</v>
      </c>
      <c r="B193" t="s">
        <v>44</v>
      </c>
      <c r="C193" t="s">
        <v>45</v>
      </c>
      <c r="D193" s="13" t="s">
        <v>501</v>
      </c>
      <c r="E193" t="s">
        <v>47</v>
      </c>
      <c r="F193" t="s">
        <v>48</v>
      </c>
      <c r="G193" s="9">
        <v>100000000</v>
      </c>
      <c r="H193" s="9">
        <v>0</v>
      </c>
      <c r="I193" s="11">
        <v>0</v>
      </c>
      <c r="J193" t="s">
        <v>49</v>
      </c>
      <c r="K193" s="13" t="s">
        <v>502</v>
      </c>
      <c r="L193" s="15" t="s">
        <v>350</v>
      </c>
    </row>
    <row r="194" spans="1:12" ht="27">
      <c r="A194" s="4" t="s">
        <v>503</v>
      </c>
      <c r="B194" t="s">
        <v>44</v>
      </c>
      <c r="C194" t="s">
        <v>45</v>
      </c>
      <c r="D194" s="13" t="s">
        <v>504</v>
      </c>
      <c r="E194" t="s">
        <v>47</v>
      </c>
      <c r="F194" t="s">
        <v>48</v>
      </c>
      <c r="G194" s="9">
        <v>8000000</v>
      </c>
      <c r="H194" s="9">
        <v>0</v>
      </c>
      <c r="I194" s="11">
        <v>0</v>
      </c>
      <c r="J194" t="s">
        <v>49</v>
      </c>
      <c r="K194" s="13" t="s">
        <v>505</v>
      </c>
      <c r="L194" s="15" t="s">
        <v>260</v>
      </c>
    </row>
    <row r="195" spans="1:12" ht="27">
      <c r="A195" s="4" t="s">
        <v>506</v>
      </c>
      <c r="B195" t="s">
        <v>44</v>
      </c>
      <c r="C195" t="s">
        <v>45</v>
      </c>
      <c r="D195" s="13" t="s">
        <v>507</v>
      </c>
      <c r="E195" t="s">
        <v>47</v>
      </c>
      <c r="F195" t="s">
        <v>48</v>
      </c>
      <c r="G195" s="9">
        <v>36000000</v>
      </c>
      <c r="H195" s="9">
        <v>0</v>
      </c>
      <c r="I195" s="11">
        <v>0</v>
      </c>
      <c r="J195" t="s">
        <v>49</v>
      </c>
      <c r="K195" s="13" t="s">
        <v>508</v>
      </c>
      <c r="L195" s="15" t="s">
        <v>260</v>
      </c>
    </row>
    <row r="196" spans="1:12" ht="27">
      <c r="A196" s="4" t="s">
        <v>509</v>
      </c>
      <c r="B196" t="s">
        <v>44</v>
      </c>
      <c r="C196" t="s">
        <v>45</v>
      </c>
      <c r="D196" s="13" t="s">
        <v>510</v>
      </c>
      <c r="E196" t="s">
        <v>47</v>
      </c>
      <c r="F196" t="s">
        <v>48</v>
      </c>
      <c r="G196" s="9">
        <v>12400000</v>
      </c>
      <c r="H196" s="9">
        <v>0</v>
      </c>
      <c r="I196" s="11">
        <v>0</v>
      </c>
      <c r="J196" t="s">
        <v>49</v>
      </c>
      <c r="K196" s="13" t="s">
        <v>511</v>
      </c>
      <c r="L196" s="15" t="s">
        <v>260</v>
      </c>
    </row>
    <row r="197" spans="1:12" ht="27">
      <c r="A197" s="4" t="s">
        <v>512</v>
      </c>
      <c r="B197" t="s">
        <v>44</v>
      </c>
      <c r="C197" t="s">
        <v>45</v>
      </c>
      <c r="D197" s="13" t="s">
        <v>513</v>
      </c>
      <c r="E197" t="s">
        <v>47</v>
      </c>
      <c r="F197" t="s">
        <v>48</v>
      </c>
      <c r="G197" s="9">
        <v>2820000</v>
      </c>
      <c r="H197" s="9">
        <v>0</v>
      </c>
      <c r="I197" s="11">
        <v>0</v>
      </c>
      <c r="J197" t="s">
        <v>49</v>
      </c>
      <c r="K197" s="13" t="s">
        <v>514</v>
      </c>
      <c r="L197" s="15" t="s">
        <v>260</v>
      </c>
    </row>
    <row r="198" spans="1:12" ht="27">
      <c r="A198" s="4" t="s">
        <v>515</v>
      </c>
      <c r="B198" t="s">
        <v>44</v>
      </c>
      <c r="C198" t="s">
        <v>45</v>
      </c>
      <c r="D198" s="13" t="s">
        <v>516</v>
      </c>
      <c r="E198" t="s">
        <v>47</v>
      </c>
      <c r="F198" t="s">
        <v>48</v>
      </c>
      <c r="G198" s="9">
        <v>6000000</v>
      </c>
      <c r="H198" s="9">
        <v>0</v>
      </c>
      <c r="I198" s="11">
        <v>0</v>
      </c>
      <c r="J198" t="s">
        <v>49</v>
      </c>
      <c r="K198" s="13" t="s">
        <v>517</v>
      </c>
      <c r="L198" s="15" t="s">
        <v>260</v>
      </c>
    </row>
    <row r="199" spans="1:12" ht="27">
      <c r="A199" s="4" t="s">
        <v>518</v>
      </c>
      <c r="B199" t="s">
        <v>44</v>
      </c>
      <c r="C199" t="s">
        <v>45</v>
      </c>
      <c r="D199" s="13" t="s">
        <v>519</v>
      </c>
      <c r="E199" t="s">
        <v>47</v>
      </c>
      <c r="F199" t="s">
        <v>48</v>
      </c>
      <c r="G199" s="9">
        <v>45500000</v>
      </c>
      <c r="H199" s="9">
        <v>0</v>
      </c>
      <c r="I199" s="11">
        <v>0</v>
      </c>
      <c r="J199" t="s">
        <v>49</v>
      </c>
      <c r="K199" s="13" t="s">
        <v>520</v>
      </c>
      <c r="L199" s="15" t="s">
        <v>260</v>
      </c>
    </row>
    <row r="200" spans="1:12" ht="27">
      <c r="A200" s="4" t="s">
        <v>521</v>
      </c>
      <c r="B200" t="s">
        <v>44</v>
      </c>
      <c r="C200" t="s">
        <v>45</v>
      </c>
      <c r="D200" s="13" t="s">
        <v>522</v>
      </c>
      <c r="E200" t="s">
        <v>47</v>
      </c>
      <c r="F200" t="s">
        <v>48</v>
      </c>
      <c r="G200" s="9">
        <v>190155000</v>
      </c>
      <c r="H200" s="9">
        <v>0</v>
      </c>
      <c r="I200" s="11">
        <v>0</v>
      </c>
      <c r="J200" t="s">
        <v>49</v>
      </c>
      <c r="K200" s="13" t="s">
        <v>523</v>
      </c>
      <c r="L200" s="15" t="s">
        <v>350</v>
      </c>
    </row>
    <row r="201" spans="1:12" ht="27">
      <c r="A201" s="4" t="s">
        <v>528</v>
      </c>
      <c r="B201" t="s">
        <v>44</v>
      </c>
      <c r="C201" t="s">
        <v>45</v>
      </c>
      <c r="D201" s="13" t="s">
        <v>100</v>
      </c>
      <c r="E201" t="s">
        <v>47</v>
      </c>
      <c r="F201" t="s">
        <v>48</v>
      </c>
      <c r="G201" s="9">
        <v>136000000</v>
      </c>
      <c r="H201" s="9">
        <v>0</v>
      </c>
      <c r="I201" s="11">
        <v>0</v>
      </c>
      <c r="J201" t="s">
        <v>49</v>
      </c>
      <c r="K201" s="13" t="s">
        <v>529</v>
      </c>
      <c r="L201" s="15" t="s">
        <v>350</v>
      </c>
    </row>
    <row r="202" spans="1:12" ht="27">
      <c r="A202" s="4" t="s">
        <v>530</v>
      </c>
      <c r="B202" t="s">
        <v>44</v>
      </c>
      <c r="C202" t="s">
        <v>45</v>
      </c>
      <c r="D202" s="13" t="s">
        <v>105</v>
      </c>
      <c r="E202" t="s">
        <v>47</v>
      </c>
      <c r="F202" t="s">
        <v>48</v>
      </c>
      <c r="G202" s="9">
        <v>13600000</v>
      </c>
      <c r="H202" s="9">
        <v>0</v>
      </c>
      <c r="I202" s="11">
        <v>0</v>
      </c>
      <c r="J202" t="s">
        <v>49</v>
      </c>
      <c r="K202" s="13" t="s">
        <v>531</v>
      </c>
      <c r="L202" s="15" t="s">
        <v>260</v>
      </c>
    </row>
    <row r="203" spans="1:12" ht="27">
      <c r="A203" s="4" t="s">
        <v>532</v>
      </c>
      <c r="B203" t="s">
        <v>44</v>
      </c>
      <c r="C203" t="s">
        <v>45</v>
      </c>
      <c r="D203" s="13" t="s">
        <v>80</v>
      </c>
      <c r="E203" t="s">
        <v>47</v>
      </c>
      <c r="F203" t="s">
        <v>48</v>
      </c>
      <c r="G203" s="9">
        <v>21250000</v>
      </c>
      <c r="H203" s="9">
        <v>0</v>
      </c>
      <c r="I203" s="11">
        <v>0</v>
      </c>
      <c r="J203" t="s">
        <v>49</v>
      </c>
      <c r="K203" s="13" t="s">
        <v>533</v>
      </c>
      <c r="L203" s="15" t="s">
        <v>260</v>
      </c>
    </row>
    <row r="204" spans="1:12" ht="27">
      <c r="A204" s="4" t="s">
        <v>534</v>
      </c>
      <c r="B204" t="s">
        <v>44</v>
      </c>
      <c r="C204" t="s">
        <v>45</v>
      </c>
      <c r="D204" s="13" t="s">
        <v>108</v>
      </c>
      <c r="E204" t="s">
        <v>47</v>
      </c>
      <c r="F204" t="s">
        <v>48</v>
      </c>
      <c r="G204" s="9">
        <v>85000000</v>
      </c>
      <c r="H204" s="9">
        <v>0</v>
      </c>
      <c r="I204" s="11">
        <v>0</v>
      </c>
      <c r="J204" t="s">
        <v>49</v>
      </c>
      <c r="K204" s="13" t="s">
        <v>535</v>
      </c>
      <c r="L204" s="15" t="s">
        <v>350</v>
      </c>
    </row>
    <row r="205" spans="1:12" ht="27">
      <c r="A205" s="4" t="s">
        <v>536</v>
      </c>
      <c r="B205" t="s">
        <v>44</v>
      </c>
      <c r="C205" t="s">
        <v>45</v>
      </c>
      <c r="D205" s="13" t="s">
        <v>474</v>
      </c>
      <c r="E205" t="s">
        <v>47</v>
      </c>
      <c r="F205" t="s">
        <v>48</v>
      </c>
      <c r="G205" s="9">
        <v>30035000</v>
      </c>
      <c r="H205" s="9">
        <v>0</v>
      </c>
      <c r="I205" s="11">
        <v>0</v>
      </c>
      <c r="J205" t="s">
        <v>49</v>
      </c>
      <c r="K205" s="13" t="s">
        <v>537</v>
      </c>
      <c r="L205" s="15" t="s">
        <v>260</v>
      </c>
    </row>
    <row r="206" spans="1:12" ht="27">
      <c r="A206" s="4" t="s">
        <v>538</v>
      </c>
      <c r="B206" t="s">
        <v>44</v>
      </c>
      <c r="C206" t="s">
        <v>45</v>
      </c>
      <c r="D206" s="13" t="s">
        <v>539</v>
      </c>
      <c r="E206" t="s">
        <v>47</v>
      </c>
      <c r="F206" t="s">
        <v>48</v>
      </c>
      <c r="G206" s="9">
        <v>35200000</v>
      </c>
      <c r="H206" s="9">
        <v>0</v>
      </c>
      <c r="I206" s="11">
        <v>0</v>
      </c>
      <c r="J206" t="s">
        <v>49</v>
      </c>
      <c r="K206" s="13" t="s">
        <v>540</v>
      </c>
      <c r="L206" s="15" t="s">
        <v>260</v>
      </c>
    </row>
    <row r="207" spans="1:12" ht="27">
      <c r="A207" s="4" t="s">
        <v>544</v>
      </c>
      <c r="B207" t="s">
        <v>44</v>
      </c>
      <c r="C207" t="s">
        <v>45</v>
      </c>
      <c r="D207" s="13" t="s">
        <v>545</v>
      </c>
      <c r="E207" t="s">
        <v>47</v>
      </c>
      <c r="F207" t="s">
        <v>48</v>
      </c>
      <c r="G207" s="9">
        <v>5500000</v>
      </c>
      <c r="H207" s="9">
        <v>0</v>
      </c>
      <c r="I207" s="11">
        <v>0</v>
      </c>
      <c r="J207" t="s">
        <v>49</v>
      </c>
      <c r="K207" s="13" t="s">
        <v>546</v>
      </c>
      <c r="L207" s="15" t="s">
        <v>260</v>
      </c>
    </row>
    <row r="208" spans="1:12" ht="27">
      <c r="A208" s="4" t="s">
        <v>547</v>
      </c>
      <c r="B208" t="s">
        <v>44</v>
      </c>
      <c r="C208" t="s">
        <v>45</v>
      </c>
      <c r="D208" s="13" t="s">
        <v>548</v>
      </c>
      <c r="E208" t="s">
        <v>47</v>
      </c>
      <c r="F208" t="s">
        <v>48</v>
      </c>
      <c r="G208" s="9">
        <v>35200000</v>
      </c>
      <c r="H208" s="9">
        <v>0</v>
      </c>
      <c r="I208" s="11">
        <v>0</v>
      </c>
      <c r="J208" t="s">
        <v>49</v>
      </c>
      <c r="K208" s="13" t="s">
        <v>540</v>
      </c>
      <c r="L208" s="15" t="s">
        <v>260</v>
      </c>
    </row>
    <row r="209" spans="1:12" ht="27">
      <c r="A209" s="4" t="s">
        <v>550</v>
      </c>
      <c r="B209" t="s">
        <v>44</v>
      </c>
      <c r="C209" t="s">
        <v>45</v>
      </c>
      <c r="D209" s="13" t="s">
        <v>78</v>
      </c>
      <c r="E209" t="s">
        <v>47</v>
      </c>
      <c r="F209" t="s">
        <v>48</v>
      </c>
      <c r="G209" s="9">
        <v>7000000</v>
      </c>
      <c r="H209" s="9">
        <v>0</v>
      </c>
      <c r="I209" s="11">
        <v>0</v>
      </c>
      <c r="J209" t="s">
        <v>49</v>
      </c>
      <c r="K209" s="13" t="s">
        <v>551</v>
      </c>
      <c r="L209" s="15" t="s">
        <v>260</v>
      </c>
    </row>
    <row r="210" spans="1:12" ht="27">
      <c r="A210" s="4" t="s">
        <v>552</v>
      </c>
      <c r="B210" t="s">
        <v>44</v>
      </c>
      <c r="C210" t="s">
        <v>45</v>
      </c>
      <c r="D210" s="13" t="s">
        <v>208</v>
      </c>
      <c r="E210" t="s">
        <v>47</v>
      </c>
      <c r="F210" t="s">
        <v>48</v>
      </c>
      <c r="G210" s="9">
        <v>16800000</v>
      </c>
      <c r="H210" s="9">
        <v>0</v>
      </c>
      <c r="I210" s="11">
        <v>0</v>
      </c>
      <c r="J210" t="s">
        <v>49</v>
      </c>
      <c r="K210" s="13" t="s">
        <v>553</v>
      </c>
      <c r="L210" s="15" t="s">
        <v>260</v>
      </c>
    </row>
    <row r="211" spans="1:12" ht="27">
      <c r="A211" s="4" t="s">
        <v>554</v>
      </c>
      <c r="B211" t="s">
        <v>44</v>
      </c>
      <c r="C211" t="s">
        <v>45</v>
      </c>
      <c r="D211" s="13" t="s">
        <v>105</v>
      </c>
      <c r="E211" t="s">
        <v>47</v>
      </c>
      <c r="F211" t="s">
        <v>48</v>
      </c>
      <c r="G211" s="9">
        <v>1120000</v>
      </c>
      <c r="H211" s="9">
        <v>0</v>
      </c>
      <c r="I211" s="11">
        <v>0</v>
      </c>
      <c r="J211" t="s">
        <v>49</v>
      </c>
      <c r="K211" s="13" t="s">
        <v>555</v>
      </c>
      <c r="L211" s="15" t="s">
        <v>260</v>
      </c>
    </row>
    <row r="212" spans="1:12" ht="27">
      <c r="A212" s="4" t="s">
        <v>556</v>
      </c>
      <c r="B212" t="s">
        <v>44</v>
      </c>
      <c r="C212" t="s">
        <v>45</v>
      </c>
      <c r="D212" s="13" t="s">
        <v>80</v>
      </c>
      <c r="E212" t="s">
        <v>47</v>
      </c>
      <c r="F212" t="s">
        <v>48</v>
      </c>
      <c r="G212" s="9">
        <v>1750000</v>
      </c>
      <c r="H212" s="9">
        <v>0</v>
      </c>
      <c r="I212" s="11">
        <v>0</v>
      </c>
      <c r="J212" t="s">
        <v>49</v>
      </c>
      <c r="K212" s="13" t="s">
        <v>557</v>
      </c>
      <c r="L212" s="15" t="s">
        <v>260</v>
      </c>
    </row>
    <row r="213" spans="1:12" ht="27">
      <c r="A213" s="4" t="s">
        <v>558</v>
      </c>
      <c r="B213" t="s">
        <v>44</v>
      </c>
      <c r="C213" t="s">
        <v>45</v>
      </c>
      <c r="D213" s="13" t="s">
        <v>559</v>
      </c>
      <c r="E213" t="s">
        <v>47</v>
      </c>
      <c r="F213" t="s">
        <v>48</v>
      </c>
      <c r="G213" s="9">
        <v>24000000</v>
      </c>
      <c r="H213" s="9">
        <v>0</v>
      </c>
      <c r="I213" s="11">
        <v>0</v>
      </c>
      <c r="J213" t="s">
        <v>49</v>
      </c>
      <c r="K213" s="13" t="s">
        <v>560</v>
      </c>
      <c r="L213" s="15" t="s">
        <v>260</v>
      </c>
    </row>
    <row r="214" spans="1:12" ht="27">
      <c r="A214" s="4" t="s">
        <v>561</v>
      </c>
      <c r="B214" t="s">
        <v>44</v>
      </c>
      <c r="C214" t="s">
        <v>45</v>
      </c>
      <c r="D214" s="13" t="s">
        <v>199</v>
      </c>
      <c r="E214" t="s">
        <v>47</v>
      </c>
      <c r="F214" t="s">
        <v>48</v>
      </c>
      <c r="G214" s="9">
        <v>33280000</v>
      </c>
      <c r="H214" s="9">
        <v>0</v>
      </c>
      <c r="I214" s="11">
        <v>0</v>
      </c>
      <c r="J214" t="s">
        <v>49</v>
      </c>
      <c r="K214" s="13" t="s">
        <v>562</v>
      </c>
      <c r="L214" s="15" t="s">
        <v>260</v>
      </c>
    </row>
    <row r="215" spans="1:12" ht="27">
      <c r="A215" s="4" t="s">
        <v>563</v>
      </c>
      <c r="B215" t="s">
        <v>44</v>
      </c>
      <c r="C215" t="s">
        <v>45</v>
      </c>
      <c r="D215" s="13" t="s">
        <v>564</v>
      </c>
      <c r="E215" t="s">
        <v>47</v>
      </c>
      <c r="F215" t="s">
        <v>48</v>
      </c>
      <c r="G215" s="9">
        <v>89920000</v>
      </c>
      <c r="H215" s="9">
        <v>0</v>
      </c>
      <c r="I215" s="11">
        <v>0</v>
      </c>
      <c r="J215" t="s">
        <v>49</v>
      </c>
      <c r="K215" s="13" t="s">
        <v>565</v>
      </c>
      <c r="L215" s="15" t="s">
        <v>350</v>
      </c>
    </row>
    <row r="216" spans="1:12" ht="27">
      <c r="A216" s="4" t="s">
        <v>566</v>
      </c>
      <c r="B216" t="s">
        <v>44</v>
      </c>
      <c r="C216" t="s">
        <v>45</v>
      </c>
      <c r="D216" s="13" t="s">
        <v>100</v>
      </c>
      <c r="E216" t="s">
        <v>47</v>
      </c>
      <c r="F216" t="s">
        <v>48</v>
      </c>
      <c r="G216" s="9">
        <v>11200000</v>
      </c>
      <c r="H216" s="9">
        <v>0</v>
      </c>
      <c r="I216" s="11">
        <v>0</v>
      </c>
      <c r="J216" t="s">
        <v>49</v>
      </c>
      <c r="K216" s="13" t="s">
        <v>567</v>
      </c>
      <c r="L216" s="15" t="s">
        <v>260</v>
      </c>
    </row>
    <row r="217" spans="1:12" ht="27">
      <c r="A217" s="4" t="s">
        <v>568</v>
      </c>
      <c r="B217" t="s">
        <v>44</v>
      </c>
      <c r="C217" t="s">
        <v>45</v>
      </c>
      <c r="D217" s="13" t="s">
        <v>569</v>
      </c>
      <c r="E217" t="s">
        <v>47</v>
      </c>
      <c r="F217" t="s">
        <v>48</v>
      </c>
      <c r="G217" s="9">
        <v>15000000</v>
      </c>
      <c r="H217" s="9">
        <v>0</v>
      </c>
      <c r="I217" s="11">
        <v>0</v>
      </c>
      <c r="J217" t="s">
        <v>49</v>
      </c>
      <c r="K217" s="13" t="s">
        <v>570</v>
      </c>
      <c r="L217" s="15" t="s">
        <v>260</v>
      </c>
    </row>
    <row r="218" spans="1:12" ht="27">
      <c r="A218" s="4" t="s">
        <v>571</v>
      </c>
      <c r="B218" t="s">
        <v>44</v>
      </c>
      <c r="C218" t="s">
        <v>45</v>
      </c>
      <c r="D218" s="13" t="s">
        <v>199</v>
      </c>
      <c r="E218" t="s">
        <v>47</v>
      </c>
      <c r="F218" t="s">
        <v>48</v>
      </c>
      <c r="G218" s="9">
        <v>16640000</v>
      </c>
      <c r="H218" s="9">
        <v>0</v>
      </c>
      <c r="I218" s="11">
        <v>0</v>
      </c>
      <c r="J218" t="s">
        <v>49</v>
      </c>
      <c r="K218" s="13" t="s">
        <v>572</v>
      </c>
      <c r="L218" s="15" t="s">
        <v>260</v>
      </c>
    </row>
    <row r="219" spans="1:12" ht="27">
      <c r="A219" s="4" t="s">
        <v>573</v>
      </c>
      <c r="B219" t="s">
        <v>44</v>
      </c>
      <c r="C219" t="s">
        <v>45</v>
      </c>
      <c r="D219" s="13" t="s">
        <v>208</v>
      </c>
      <c r="E219" t="s">
        <v>47</v>
      </c>
      <c r="F219" t="s">
        <v>48</v>
      </c>
      <c r="G219" s="9">
        <v>16800000</v>
      </c>
      <c r="H219" s="9">
        <v>0</v>
      </c>
      <c r="I219" s="11">
        <v>0</v>
      </c>
      <c r="J219" t="s">
        <v>49</v>
      </c>
      <c r="K219" s="13" t="s">
        <v>553</v>
      </c>
      <c r="L219" s="15" t="s">
        <v>260</v>
      </c>
    </row>
    <row r="220" spans="1:12" ht="27">
      <c r="A220" s="4" t="s">
        <v>574</v>
      </c>
      <c r="B220" t="s">
        <v>44</v>
      </c>
      <c r="C220" t="s">
        <v>45</v>
      </c>
      <c r="D220" s="13" t="s">
        <v>232</v>
      </c>
      <c r="E220" t="s">
        <v>47</v>
      </c>
      <c r="F220" t="s">
        <v>48</v>
      </c>
      <c r="G220" s="9">
        <v>5760000</v>
      </c>
      <c r="H220" s="9">
        <v>0</v>
      </c>
      <c r="I220" s="11">
        <v>0</v>
      </c>
      <c r="J220" t="s">
        <v>49</v>
      </c>
      <c r="K220" s="13" t="s">
        <v>575</v>
      </c>
      <c r="L220" s="15" t="s">
        <v>171</v>
      </c>
    </row>
    <row r="221" spans="1:12" ht="40.5">
      <c r="A221" s="4" t="s">
        <v>576</v>
      </c>
      <c r="B221" t="s">
        <v>44</v>
      </c>
      <c r="C221" t="s">
        <v>45</v>
      </c>
      <c r="D221" s="13" t="s">
        <v>577</v>
      </c>
      <c r="E221" t="s">
        <v>47</v>
      </c>
      <c r="F221" t="s">
        <v>48</v>
      </c>
      <c r="G221" s="9">
        <v>8960000</v>
      </c>
      <c r="H221" s="9">
        <v>0</v>
      </c>
      <c r="I221" s="11">
        <v>0</v>
      </c>
      <c r="J221" t="s">
        <v>49</v>
      </c>
      <c r="K221" s="13" t="s">
        <v>578</v>
      </c>
      <c r="L221" s="15" t="s">
        <v>63</v>
      </c>
    </row>
    <row r="222" spans="1:12" ht="40.5">
      <c r="A222" s="4" t="s">
        <v>579</v>
      </c>
      <c r="B222" t="s">
        <v>44</v>
      </c>
      <c r="C222" t="s">
        <v>45</v>
      </c>
      <c r="D222" s="13" t="s">
        <v>189</v>
      </c>
      <c r="E222" t="s">
        <v>47</v>
      </c>
      <c r="F222" t="s">
        <v>48</v>
      </c>
      <c r="G222" s="9">
        <v>10880000</v>
      </c>
      <c r="H222" s="9">
        <v>0</v>
      </c>
      <c r="I222" s="11">
        <v>0</v>
      </c>
      <c r="J222" t="s">
        <v>49</v>
      </c>
      <c r="K222" s="13" t="s">
        <v>580</v>
      </c>
      <c r="L222" s="15" t="s">
        <v>63</v>
      </c>
    </row>
    <row r="223" spans="1:12" ht="27">
      <c r="A223" s="4" t="s">
        <v>581</v>
      </c>
      <c r="B223" t="s">
        <v>44</v>
      </c>
      <c r="C223" t="s">
        <v>45</v>
      </c>
      <c r="D223" s="13" t="s">
        <v>186</v>
      </c>
      <c r="E223" t="s">
        <v>47</v>
      </c>
      <c r="F223" t="s">
        <v>48</v>
      </c>
      <c r="G223" s="9">
        <v>11200000</v>
      </c>
      <c r="H223" s="9">
        <v>0</v>
      </c>
      <c r="I223" s="11">
        <v>0</v>
      </c>
      <c r="J223" t="s">
        <v>49</v>
      </c>
      <c r="K223" s="13" t="s">
        <v>567</v>
      </c>
      <c r="L223" s="15" t="s">
        <v>260</v>
      </c>
    </row>
    <row r="224" spans="1:12" ht="27">
      <c r="A224" s="4" t="s">
        <v>582</v>
      </c>
      <c r="B224" t="s">
        <v>44</v>
      </c>
      <c r="C224" t="s">
        <v>45</v>
      </c>
      <c r="D224" s="13" t="s">
        <v>583</v>
      </c>
      <c r="E224" t="s">
        <v>47</v>
      </c>
      <c r="F224" t="s">
        <v>48</v>
      </c>
      <c r="G224" s="9">
        <v>19500000</v>
      </c>
      <c r="H224" s="9">
        <v>0</v>
      </c>
      <c r="I224" s="11">
        <v>0</v>
      </c>
      <c r="J224" t="s">
        <v>49</v>
      </c>
      <c r="K224" s="13" t="s">
        <v>584</v>
      </c>
      <c r="L224" s="15" t="s">
        <v>260</v>
      </c>
    </row>
    <row r="225" spans="1:12" ht="27">
      <c r="A225" s="4" t="s">
        <v>585</v>
      </c>
      <c r="B225" t="s">
        <v>44</v>
      </c>
      <c r="C225" t="s">
        <v>45</v>
      </c>
      <c r="D225" s="13" t="s">
        <v>586</v>
      </c>
      <c r="E225" t="s">
        <v>47</v>
      </c>
      <c r="F225" t="s">
        <v>48</v>
      </c>
      <c r="G225" s="9">
        <v>29500000</v>
      </c>
      <c r="H225" s="9">
        <v>0</v>
      </c>
      <c r="I225" s="11">
        <v>0</v>
      </c>
      <c r="J225" t="s">
        <v>49</v>
      </c>
      <c r="K225" s="13" t="s">
        <v>587</v>
      </c>
      <c r="L225" s="15" t="s">
        <v>260</v>
      </c>
    </row>
    <row r="226" spans="1:12" ht="27">
      <c r="A226" s="4" t="s">
        <v>588</v>
      </c>
      <c r="B226" t="s">
        <v>44</v>
      </c>
      <c r="C226" t="s">
        <v>45</v>
      </c>
      <c r="D226" s="13" t="s">
        <v>589</v>
      </c>
      <c r="E226" t="s">
        <v>47</v>
      </c>
      <c r="F226" t="s">
        <v>48</v>
      </c>
      <c r="G226" s="9">
        <v>15000000</v>
      </c>
      <c r="H226" s="9">
        <v>0</v>
      </c>
      <c r="I226" s="11">
        <v>0</v>
      </c>
      <c r="J226" t="s">
        <v>49</v>
      </c>
      <c r="K226" s="13" t="s">
        <v>570</v>
      </c>
      <c r="L226" s="15" t="s">
        <v>260</v>
      </c>
    </row>
    <row r="227" spans="1:12" ht="27">
      <c r="A227" s="4" t="s">
        <v>590</v>
      </c>
      <c r="B227" t="s">
        <v>44</v>
      </c>
      <c r="C227" t="s">
        <v>45</v>
      </c>
      <c r="D227" s="13" t="s">
        <v>591</v>
      </c>
      <c r="E227" t="s">
        <v>47</v>
      </c>
      <c r="F227" t="s">
        <v>48</v>
      </c>
      <c r="G227" s="9">
        <v>33500000</v>
      </c>
      <c r="H227" s="9">
        <v>0</v>
      </c>
      <c r="I227" s="11">
        <v>0</v>
      </c>
      <c r="J227" t="s">
        <v>49</v>
      </c>
      <c r="K227" s="13" t="s">
        <v>592</v>
      </c>
      <c r="L227" s="15" t="s">
        <v>260</v>
      </c>
    </row>
    <row r="228" spans="1:12" ht="27">
      <c r="A228" s="4" t="s">
        <v>593</v>
      </c>
      <c r="B228" t="s">
        <v>44</v>
      </c>
      <c r="C228" t="s">
        <v>45</v>
      </c>
      <c r="D228" s="13" t="s">
        <v>594</v>
      </c>
      <c r="E228" t="s">
        <v>47</v>
      </c>
      <c r="F228" t="s">
        <v>48</v>
      </c>
      <c r="G228" s="9">
        <v>22000000</v>
      </c>
      <c r="H228" s="9">
        <v>0</v>
      </c>
      <c r="I228" s="11">
        <v>0</v>
      </c>
      <c r="J228" t="s">
        <v>49</v>
      </c>
      <c r="K228" s="13" t="s">
        <v>595</v>
      </c>
      <c r="L228" s="15" t="s">
        <v>260</v>
      </c>
    </row>
    <row r="229" spans="1:12" ht="27">
      <c r="A229" s="4" t="s">
        <v>596</v>
      </c>
      <c r="B229" t="s">
        <v>44</v>
      </c>
      <c r="C229" t="s">
        <v>45</v>
      </c>
      <c r="D229" s="13" t="s">
        <v>597</v>
      </c>
      <c r="E229" t="s">
        <v>47</v>
      </c>
      <c r="F229" t="s">
        <v>48</v>
      </c>
      <c r="G229" s="9">
        <v>44000000</v>
      </c>
      <c r="H229" s="9">
        <v>0</v>
      </c>
      <c r="I229" s="11">
        <v>0</v>
      </c>
      <c r="J229" t="s">
        <v>49</v>
      </c>
      <c r="K229" s="13" t="s">
        <v>598</v>
      </c>
      <c r="L229" s="15" t="s">
        <v>171</v>
      </c>
    </row>
    <row r="230" spans="1:12" ht="27">
      <c r="A230" s="4" t="s">
        <v>599</v>
      </c>
      <c r="B230" t="s">
        <v>44</v>
      </c>
      <c r="C230" t="s">
        <v>45</v>
      </c>
      <c r="D230" s="13" t="s">
        <v>600</v>
      </c>
      <c r="E230" t="s">
        <v>47</v>
      </c>
      <c r="F230" t="s">
        <v>48</v>
      </c>
      <c r="G230" s="9">
        <v>71993000</v>
      </c>
      <c r="H230" s="9">
        <v>0</v>
      </c>
      <c r="I230" s="11">
        <v>0</v>
      </c>
      <c r="J230" t="s">
        <v>49</v>
      </c>
      <c r="K230" s="13" t="s">
        <v>601</v>
      </c>
      <c r="L230" s="15" t="s">
        <v>350</v>
      </c>
    </row>
    <row r="231" spans="1:12" ht="27">
      <c r="A231" s="4" t="s">
        <v>602</v>
      </c>
      <c r="B231" t="s">
        <v>44</v>
      </c>
      <c r="C231" t="s">
        <v>45</v>
      </c>
      <c r="D231" s="13" t="s">
        <v>199</v>
      </c>
      <c r="E231" t="s">
        <v>47</v>
      </c>
      <c r="F231" t="s">
        <v>48</v>
      </c>
      <c r="G231" s="9">
        <v>49920000</v>
      </c>
      <c r="H231" s="9">
        <v>0</v>
      </c>
      <c r="I231" s="11">
        <v>0</v>
      </c>
      <c r="J231" t="s">
        <v>49</v>
      </c>
      <c r="K231" s="13" t="s">
        <v>603</v>
      </c>
      <c r="L231" s="15" t="s">
        <v>260</v>
      </c>
    </row>
    <row r="232" spans="1:12" ht="27">
      <c r="A232" s="4" t="s">
        <v>604</v>
      </c>
      <c r="B232" t="s">
        <v>44</v>
      </c>
      <c r="C232" t="s">
        <v>45</v>
      </c>
      <c r="D232" s="13" t="s">
        <v>189</v>
      </c>
      <c r="E232" t="s">
        <v>47</v>
      </c>
      <c r="F232" t="s">
        <v>48</v>
      </c>
      <c r="G232" s="9">
        <v>10880000</v>
      </c>
      <c r="H232" s="9">
        <v>0</v>
      </c>
      <c r="I232" s="11">
        <v>0</v>
      </c>
      <c r="J232" t="s">
        <v>49</v>
      </c>
      <c r="K232" s="13" t="s">
        <v>605</v>
      </c>
      <c r="L232" s="15" t="s">
        <v>260</v>
      </c>
    </row>
    <row r="233" spans="1:12" ht="27">
      <c r="A233" s="4" t="s">
        <v>609</v>
      </c>
      <c r="B233" t="s">
        <v>44</v>
      </c>
      <c r="C233" t="s">
        <v>45</v>
      </c>
      <c r="D233" s="13" t="s">
        <v>610</v>
      </c>
      <c r="E233" t="s">
        <v>47</v>
      </c>
      <c r="F233" t="s">
        <v>48</v>
      </c>
      <c r="G233" s="9">
        <v>110000000</v>
      </c>
      <c r="H233" s="9">
        <v>0</v>
      </c>
      <c r="I233" s="11">
        <v>0</v>
      </c>
      <c r="J233" t="s">
        <v>49</v>
      </c>
      <c r="K233" s="13" t="s">
        <v>611</v>
      </c>
      <c r="L233" s="15" t="s">
        <v>350</v>
      </c>
    </row>
    <row r="234" spans="1:12" ht="27">
      <c r="A234" s="4" t="s">
        <v>612</v>
      </c>
      <c r="B234" t="s">
        <v>44</v>
      </c>
      <c r="C234" t="s">
        <v>45</v>
      </c>
      <c r="D234" s="13" t="s">
        <v>613</v>
      </c>
      <c r="E234" t="s">
        <v>47</v>
      </c>
      <c r="F234" t="s">
        <v>48</v>
      </c>
      <c r="G234" s="9">
        <v>33500000</v>
      </c>
      <c r="H234" s="9">
        <v>0</v>
      </c>
      <c r="I234" s="11">
        <v>0</v>
      </c>
      <c r="J234" t="s">
        <v>49</v>
      </c>
      <c r="K234" s="13" t="s">
        <v>592</v>
      </c>
      <c r="L234" s="15" t="s">
        <v>260</v>
      </c>
    </row>
    <row r="235" spans="1:12" ht="27">
      <c r="A235" s="4" t="s">
        <v>614</v>
      </c>
      <c r="B235" t="s">
        <v>44</v>
      </c>
      <c r="C235" t="s">
        <v>45</v>
      </c>
      <c r="D235" s="13" t="s">
        <v>615</v>
      </c>
      <c r="E235" t="s">
        <v>47</v>
      </c>
      <c r="F235" t="s">
        <v>48</v>
      </c>
      <c r="G235" s="9">
        <v>12500000</v>
      </c>
      <c r="H235" s="9">
        <v>0</v>
      </c>
      <c r="I235" s="11">
        <v>0</v>
      </c>
      <c r="J235" t="s">
        <v>49</v>
      </c>
      <c r="K235" s="13" t="s">
        <v>616</v>
      </c>
      <c r="L235" s="15" t="s">
        <v>260</v>
      </c>
    </row>
    <row r="236" spans="1:12" ht="27">
      <c r="A236" s="4" t="s">
        <v>617</v>
      </c>
      <c r="B236" t="s">
        <v>44</v>
      </c>
      <c r="C236" t="s">
        <v>45</v>
      </c>
      <c r="D236" s="13" t="s">
        <v>618</v>
      </c>
      <c r="E236" t="s">
        <v>47</v>
      </c>
      <c r="F236" t="s">
        <v>48</v>
      </c>
      <c r="G236" s="9">
        <v>74000000</v>
      </c>
      <c r="H236" s="9">
        <v>0</v>
      </c>
      <c r="I236" s="11">
        <v>0</v>
      </c>
      <c r="J236" t="s">
        <v>49</v>
      </c>
      <c r="K236" s="13" t="s">
        <v>619</v>
      </c>
      <c r="L236" s="15" t="s">
        <v>350</v>
      </c>
    </row>
    <row r="237" spans="1:12" ht="27">
      <c r="A237" s="4" t="s">
        <v>620</v>
      </c>
      <c r="B237" t="s">
        <v>44</v>
      </c>
      <c r="C237" t="s">
        <v>45</v>
      </c>
      <c r="D237" s="13" t="s">
        <v>621</v>
      </c>
      <c r="E237" t="s">
        <v>47</v>
      </c>
      <c r="F237" t="s">
        <v>48</v>
      </c>
      <c r="G237" s="9">
        <v>16000000</v>
      </c>
      <c r="H237" s="9">
        <v>0</v>
      </c>
      <c r="I237" s="11">
        <v>0</v>
      </c>
      <c r="J237" t="s">
        <v>49</v>
      </c>
      <c r="K237" s="13" t="s">
        <v>622</v>
      </c>
      <c r="L237" s="15" t="s">
        <v>260</v>
      </c>
    </row>
    <row r="238" spans="1:12" ht="27">
      <c r="A238" s="4" t="s">
        <v>623</v>
      </c>
      <c r="B238" t="s">
        <v>44</v>
      </c>
      <c r="C238" t="s">
        <v>45</v>
      </c>
      <c r="D238" s="13" t="s">
        <v>624</v>
      </c>
      <c r="E238" t="s">
        <v>47</v>
      </c>
      <c r="F238" t="s">
        <v>48</v>
      </c>
      <c r="G238" s="9">
        <v>35000000</v>
      </c>
      <c r="H238" s="9">
        <v>0</v>
      </c>
      <c r="I238" s="11">
        <v>0</v>
      </c>
      <c r="J238" t="s">
        <v>49</v>
      </c>
      <c r="K238" s="13" t="s">
        <v>625</v>
      </c>
      <c r="L238" s="15" t="s">
        <v>260</v>
      </c>
    </row>
    <row r="239" spans="1:12" ht="27">
      <c r="A239" s="4" t="s">
        <v>626</v>
      </c>
      <c r="B239" t="s">
        <v>44</v>
      </c>
      <c r="C239" t="s">
        <v>45</v>
      </c>
      <c r="D239" s="13" t="s">
        <v>627</v>
      </c>
      <c r="E239" t="s">
        <v>47</v>
      </c>
      <c r="F239" t="s">
        <v>48</v>
      </c>
      <c r="G239" s="9">
        <v>82500000</v>
      </c>
      <c r="H239" s="9">
        <v>0</v>
      </c>
      <c r="I239" s="11">
        <v>0</v>
      </c>
      <c r="J239" t="s">
        <v>49</v>
      </c>
      <c r="K239" s="13" t="s">
        <v>628</v>
      </c>
      <c r="L239" s="15" t="s">
        <v>350</v>
      </c>
    </row>
    <row r="240" spans="1:12" ht="27">
      <c r="A240" s="4" t="s">
        <v>629</v>
      </c>
      <c r="B240" t="s">
        <v>44</v>
      </c>
      <c r="C240" t="s">
        <v>45</v>
      </c>
      <c r="D240" s="13" t="s">
        <v>630</v>
      </c>
      <c r="E240" t="s">
        <v>47</v>
      </c>
      <c r="F240" t="s">
        <v>48</v>
      </c>
      <c r="G240" s="9">
        <v>35600000</v>
      </c>
      <c r="H240" s="9">
        <v>0</v>
      </c>
      <c r="I240" s="11">
        <v>0</v>
      </c>
      <c r="J240" t="s">
        <v>49</v>
      </c>
      <c r="K240" s="13" t="s">
        <v>631</v>
      </c>
      <c r="L240" s="15" t="s">
        <v>260</v>
      </c>
    </row>
    <row r="241" spans="1:12" ht="27">
      <c r="A241" s="4" t="s">
        <v>632</v>
      </c>
      <c r="B241" t="s">
        <v>44</v>
      </c>
      <c r="C241" t="s">
        <v>45</v>
      </c>
      <c r="D241" s="13" t="s">
        <v>633</v>
      </c>
      <c r="E241" t="s">
        <v>47</v>
      </c>
      <c r="F241" t="s">
        <v>48</v>
      </c>
      <c r="G241" s="9">
        <v>215730000</v>
      </c>
      <c r="H241" s="9">
        <v>0</v>
      </c>
      <c r="I241" s="11">
        <v>0</v>
      </c>
      <c r="J241" t="s">
        <v>49</v>
      </c>
      <c r="K241" s="13" t="s">
        <v>634</v>
      </c>
      <c r="L241" s="15" t="s">
        <v>468</v>
      </c>
    </row>
    <row r="242" spans="1:12" ht="27">
      <c r="A242" s="4" t="s">
        <v>635</v>
      </c>
      <c r="B242" t="s">
        <v>44</v>
      </c>
      <c r="C242" t="s">
        <v>45</v>
      </c>
      <c r="D242" s="13" t="s">
        <v>636</v>
      </c>
      <c r="E242" t="s">
        <v>47</v>
      </c>
      <c r="F242" t="s">
        <v>48</v>
      </c>
      <c r="G242" s="9">
        <v>10000000</v>
      </c>
      <c r="H242" s="9">
        <v>0</v>
      </c>
      <c r="I242" s="11">
        <v>0</v>
      </c>
      <c r="J242" t="s">
        <v>49</v>
      </c>
      <c r="K242" s="13" t="s">
        <v>637</v>
      </c>
      <c r="L242" s="15" t="s">
        <v>260</v>
      </c>
    </row>
    <row r="243" spans="1:12" ht="27">
      <c r="A243" s="4" t="s">
        <v>638</v>
      </c>
      <c r="B243" t="s">
        <v>44</v>
      </c>
      <c r="C243" t="s">
        <v>45</v>
      </c>
      <c r="D243" s="13" t="s">
        <v>639</v>
      </c>
      <c r="E243" t="s">
        <v>47</v>
      </c>
      <c r="F243" t="s">
        <v>48</v>
      </c>
      <c r="G243" s="9">
        <v>12410000</v>
      </c>
      <c r="H243" s="9">
        <v>0</v>
      </c>
      <c r="I243" s="11">
        <v>0</v>
      </c>
      <c r="J243" t="s">
        <v>49</v>
      </c>
      <c r="K243" s="13" t="s">
        <v>640</v>
      </c>
      <c r="L243" s="15" t="s">
        <v>260</v>
      </c>
    </row>
    <row r="244" spans="1:12" ht="27">
      <c r="A244" s="4" t="s">
        <v>641</v>
      </c>
      <c r="B244" t="s">
        <v>44</v>
      </c>
      <c r="C244" t="s">
        <v>45</v>
      </c>
      <c r="D244" s="13" t="s">
        <v>642</v>
      </c>
      <c r="E244" t="s">
        <v>47</v>
      </c>
      <c r="F244" t="s">
        <v>48</v>
      </c>
      <c r="G244" s="9">
        <v>2700000</v>
      </c>
      <c r="H244" s="9">
        <v>0</v>
      </c>
      <c r="I244" s="11">
        <v>0</v>
      </c>
      <c r="J244" t="s">
        <v>49</v>
      </c>
      <c r="K244" s="13" t="s">
        <v>643</v>
      </c>
      <c r="L244" s="15" t="s">
        <v>260</v>
      </c>
    </row>
    <row r="245" spans="1:12" ht="27">
      <c r="A245" s="4" t="s">
        <v>644</v>
      </c>
      <c r="B245" t="s">
        <v>44</v>
      </c>
      <c r="C245" t="s">
        <v>45</v>
      </c>
      <c r="D245" s="13" t="s">
        <v>645</v>
      </c>
      <c r="E245" t="s">
        <v>47</v>
      </c>
      <c r="F245" t="s">
        <v>48</v>
      </c>
      <c r="G245" s="9">
        <v>3450000</v>
      </c>
      <c r="H245" s="9">
        <v>0</v>
      </c>
      <c r="I245" s="11">
        <v>0</v>
      </c>
      <c r="J245" t="s">
        <v>49</v>
      </c>
      <c r="K245" s="13" t="s">
        <v>646</v>
      </c>
      <c r="L245" s="15" t="s">
        <v>260</v>
      </c>
    </row>
    <row r="246" spans="1:12" ht="40.5">
      <c r="A246" s="4" t="s">
        <v>651</v>
      </c>
      <c r="B246" t="s">
        <v>44</v>
      </c>
      <c r="C246" t="s">
        <v>45</v>
      </c>
      <c r="D246" s="13" t="s">
        <v>652</v>
      </c>
      <c r="E246" t="s">
        <v>47</v>
      </c>
      <c r="F246" t="s">
        <v>48</v>
      </c>
      <c r="G246" s="9">
        <v>1934345000</v>
      </c>
      <c r="H246" s="9">
        <v>0</v>
      </c>
      <c r="I246" s="11">
        <v>0</v>
      </c>
      <c r="J246" t="s">
        <v>466</v>
      </c>
      <c r="K246" s="13" t="s">
        <v>653</v>
      </c>
      <c r="L246" s="15" t="s">
        <v>468</v>
      </c>
    </row>
    <row r="247" spans="1:12" ht="40.5">
      <c r="A247" s="4" t="s">
        <v>654</v>
      </c>
      <c r="B247" t="s">
        <v>44</v>
      </c>
      <c r="C247" t="s">
        <v>45</v>
      </c>
      <c r="D247" s="13" t="s">
        <v>655</v>
      </c>
      <c r="E247" t="s">
        <v>47</v>
      </c>
      <c r="F247" t="s">
        <v>48</v>
      </c>
      <c r="G247" s="9">
        <v>42500000</v>
      </c>
      <c r="H247" s="9">
        <v>0</v>
      </c>
      <c r="I247" s="11">
        <v>0</v>
      </c>
      <c r="J247" t="s">
        <v>49</v>
      </c>
      <c r="K247" s="13" t="s">
        <v>656</v>
      </c>
      <c r="L247" s="15" t="s">
        <v>350</v>
      </c>
    </row>
    <row r="248" spans="1:12" ht="40.5">
      <c r="A248" s="4" t="s">
        <v>657</v>
      </c>
      <c r="B248" t="s">
        <v>44</v>
      </c>
      <c r="C248" t="s">
        <v>45</v>
      </c>
      <c r="D248" s="13" t="s">
        <v>658</v>
      </c>
      <c r="E248" t="s">
        <v>47</v>
      </c>
      <c r="F248" t="s">
        <v>48</v>
      </c>
      <c r="G248" s="9">
        <v>261000</v>
      </c>
      <c r="H248" s="9">
        <v>0</v>
      </c>
      <c r="I248" s="11">
        <v>0</v>
      </c>
      <c r="J248" t="s">
        <v>49</v>
      </c>
      <c r="K248" s="13" t="s">
        <v>659</v>
      </c>
      <c r="L248" s="15" t="s">
        <v>260</v>
      </c>
    </row>
    <row r="249" spans="1:12" ht="40.5">
      <c r="A249" s="4" t="s">
        <v>660</v>
      </c>
      <c r="B249" t="s">
        <v>44</v>
      </c>
      <c r="C249" t="s">
        <v>45</v>
      </c>
      <c r="D249" s="13" t="s">
        <v>661</v>
      </c>
      <c r="E249" t="s">
        <v>47</v>
      </c>
      <c r="F249" t="s">
        <v>48</v>
      </c>
      <c r="G249" s="9">
        <v>3100000</v>
      </c>
      <c r="H249" s="9">
        <v>0</v>
      </c>
      <c r="I249" s="11">
        <v>0</v>
      </c>
      <c r="J249" t="s">
        <v>49</v>
      </c>
      <c r="K249" s="13" t="s">
        <v>662</v>
      </c>
      <c r="L249" s="15" t="s">
        <v>260</v>
      </c>
    </row>
    <row r="250" spans="1:12" ht="40.5">
      <c r="A250" s="4" t="s">
        <v>663</v>
      </c>
      <c r="B250" t="s">
        <v>44</v>
      </c>
      <c r="C250" t="s">
        <v>45</v>
      </c>
      <c r="D250" s="13" t="s">
        <v>664</v>
      </c>
      <c r="E250" t="s">
        <v>47</v>
      </c>
      <c r="F250" t="s">
        <v>48</v>
      </c>
      <c r="G250" s="9">
        <v>1500000</v>
      </c>
      <c r="H250" s="9">
        <v>0</v>
      </c>
      <c r="I250" s="11">
        <v>0</v>
      </c>
      <c r="J250" t="s">
        <v>49</v>
      </c>
      <c r="K250" s="13" t="s">
        <v>665</v>
      </c>
      <c r="L250" s="15" t="s">
        <v>260</v>
      </c>
    </row>
    <row r="251" spans="1:12" ht="40.5">
      <c r="A251" s="4" t="s">
        <v>666</v>
      </c>
      <c r="B251" t="s">
        <v>44</v>
      </c>
      <c r="C251" t="s">
        <v>45</v>
      </c>
      <c r="D251" s="13" t="s">
        <v>667</v>
      </c>
      <c r="E251" t="s">
        <v>47</v>
      </c>
      <c r="F251" t="s">
        <v>48</v>
      </c>
      <c r="G251" s="9">
        <v>1500000</v>
      </c>
      <c r="H251" s="9">
        <v>0</v>
      </c>
      <c r="I251" s="11">
        <v>0</v>
      </c>
      <c r="J251" t="s">
        <v>49</v>
      </c>
      <c r="K251" s="13" t="s">
        <v>668</v>
      </c>
      <c r="L251" s="15" t="s">
        <v>63</v>
      </c>
    </row>
    <row r="252" spans="1:12" ht="40.5">
      <c r="A252" s="4" t="s">
        <v>669</v>
      </c>
      <c r="B252" t="s">
        <v>44</v>
      </c>
      <c r="C252" t="s">
        <v>45</v>
      </c>
      <c r="D252" s="13" t="s">
        <v>670</v>
      </c>
      <c r="E252" t="s">
        <v>47</v>
      </c>
      <c r="F252" t="s">
        <v>48</v>
      </c>
      <c r="G252" s="9">
        <v>1950000</v>
      </c>
      <c r="H252" s="9">
        <v>0</v>
      </c>
      <c r="I252" s="11">
        <v>0</v>
      </c>
      <c r="J252" t="s">
        <v>49</v>
      </c>
      <c r="K252" s="13" t="s">
        <v>671</v>
      </c>
      <c r="L252" s="15" t="s">
        <v>260</v>
      </c>
    </row>
    <row r="253" spans="1:12" ht="40.5">
      <c r="A253" s="4" t="s">
        <v>672</v>
      </c>
      <c r="B253" t="s">
        <v>44</v>
      </c>
      <c r="C253" t="s">
        <v>45</v>
      </c>
      <c r="D253" s="13" t="s">
        <v>673</v>
      </c>
      <c r="E253" t="s">
        <v>47</v>
      </c>
      <c r="F253" t="s">
        <v>48</v>
      </c>
      <c r="G253" s="9">
        <v>450000</v>
      </c>
      <c r="H253" s="9">
        <v>0</v>
      </c>
      <c r="I253" s="11">
        <v>0</v>
      </c>
      <c r="J253" t="s">
        <v>49</v>
      </c>
      <c r="K253" s="13" t="s">
        <v>674</v>
      </c>
      <c r="L253" s="15" t="s">
        <v>260</v>
      </c>
    </row>
    <row r="254" spans="1:12" ht="40.5">
      <c r="A254" s="4" t="s">
        <v>675</v>
      </c>
      <c r="B254" t="s">
        <v>44</v>
      </c>
      <c r="C254" t="s">
        <v>45</v>
      </c>
      <c r="D254" s="13" t="s">
        <v>75</v>
      </c>
      <c r="E254" t="s">
        <v>47</v>
      </c>
      <c r="F254" t="s">
        <v>48</v>
      </c>
      <c r="G254" s="9">
        <v>3750000</v>
      </c>
      <c r="H254" s="9">
        <v>0</v>
      </c>
      <c r="I254" s="11">
        <v>0</v>
      </c>
      <c r="J254" t="s">
        <v>49</v>
      </c>
      <c r="K254" s="13" t="s">
        <v>676</v>
      </c>
      <c r="L254" s="15" t="s">
        <v>260</v>
      </c>
    </row>
    <row r="255" spans="1:12" ht="40.5">
      <c r="A255" s="4" t="s">
        <v>677</v>
      </c>
      <c r="B255" t="s">
        <v>44</v>
      </c>
      <c r="C255" t="s">
        <v>45</v>
      </c>
      <c r="D255" s="13" t="s">
        <v>67</v>
      </c>
      <c r="E255" t="s">
        <v>47</v>
      </c>
      <c r="F255" t="s">
        <v>48</v>
      </c>
      <c r="G255" s="9">
        <v>3250000</v>
      </c>
      <c r="H255" s="9">
        <v>0</v>
      </c>
      <c r="I255" s="11">
        <v>0</v>
      </c>
      <c r="J255" t="s">
        <v>49</v>
      </c>
      <c r="K255" s="13" t="s">
        <v>678</v>
      </c>
      <c r="L255" s="15" t="s">
        <v>260</v>
      </c>
    </row>
    <row r="256" spans="1:12" ht="40.5">
      <c r="A256" s="4" t="s">
        <v>679</v>
      </c>
      <c r="B256" t="s">
        <v>44</v>
      </c>
      <c r="C256" t="s">
        <v>45</v>
      </c>
      <c r="D256" s="13" t="s">
        <v>680</v>
      </c>
      <c r="E256" t="s">
        <v>47</v>
      </c>
      <c r="F256" t="s">
        <v>48</v>
      </c>
      <c r="G256" s="9">
        <v>1250000</v>
      </c>
      <c r="H256" s="9">
        <v>0</v>
      </c>
      <c r="I256" s="11">
        <v>0</v>
      </c>
      <c r="J256" t="s">
        <v>49</v>
      </c>
      <c r="K256" s="13" t="s">
        <v>681</v>
      </c>
      <c r="L256" s="15" t="s">
        <v>260</v>
      </c>
    </row>
    <row r="257" spans="1:12" ht="40.5">
      <c r="A257" s="4" t="s">
        <v>682</v>
      </c>
      <c r="B257" t="s">
        <v>44</v>
      </c>
      <c r="C257" t="s">
        <v>45</v>
      </c>
      <c r="D257" s="13" t="s">
        <v>683</v>
      </c>
      <c r="E257" t="s">
        <v>47</v>
      </c>
      <c r="F257" t="s">
        <v>48</v>
      </c>
      <c r="G257" s="9">
        <v>13440000</v>
      </c>
      <c r="H257" s="9">
        <v>0</v>
      </c>
      <c r="I257" s="11">
        <v>0</v>
      </c>
      <c r="J257" t="s">
        <v>49</v>
      </c>
      <c r="K257" s="13" t="s">
        <v>684</v>
      </c>
      <c r="L257" s="15" t="s">
        <v>350</v>
      </c>
    </row>
    <row r="258" spans="1:12" ht="40.5">
      <c r="A258" s="4" t="s">
        <v>685</v>
      </c>
      <c r="B258" t="s">
        <v>44</v>
      </c>
      <c r="C258" t="s">
        <v>45</v>
      </c>
      <c r="D258" s="13" t="s">
        <v>686</v>
      </c>
      <c r="E258" t="s">
        <v>47</v>
      </c>
      <c r="F258" t="s">
        <v>48</v>
      </c>
      <c r="G258" s="9">
        <v>11520000</v>
      </c>
      <c r="H258" s="9">
        <v>0</v>
      </c>
      <c r="I258" s="11">
        <v>0</v>
      </c>
      <c r="J258" t="s">
        <v>49</v>
      </c>
      <c r="K258" s="13" t="s">
        <v>687</v>
      </c>
      <c r="L258" s="15" t="s">
        <v>350</v>
      </c>
    </row>
    <row r="259" spans="1:12" ht="40.5">
      <c r="A259" s="4" t="s">
        <v>688</v>
      </c>
      <c r="B259" t="s">
        <v>44</v>
      </c>
      <c r="C259" t="s">
        <v>45</v>
      </c>
      <c r="D259" s="13" t="s">
        <v>689</v>
      </c>
      <c r="E259" t="s">
        <v>47</v>
      </c>
      <c r="F259" t="s">
        <v>48</v>
      </c>
      <c r="G259" s="9">
        <v>8000000</v>
      </c>
      <c r="H259" s="9">
        <v>0</v>
      </c>
      <c r="I259" s="11">
        <v>0</v>
      </c>
      <c r="J259" t="s">
        <v>49</v>
      </c>
      <c r="K259" s="13" t="s">
        <v>690</v>
      </c>
      <c r="L259" s="15" t="s">
        <v>350</v>
      </c>
    </row>
    <row r="260" spans="1:12" ht="40.5">
      <c r="A260" s="4" t="s">
        <v>693</v>
      </c>
      <c r="B260" t="s">
        <v>44</v>
      </c>
      <c r="C260" t="s">
        <v>45</v>
      </c>
      <c r="D260" s="13" t="s">
        <v>694</v>
      </c>
      <c r="E260" t="s">
        <v>47</v>
      </c>
      <c r="F260" t="s">
        <v>48</v>
      </c>
      <c r="G260" s="9">
        <v>18500000</v>
      </c>
      <c r="H260" s="9">
        <v>0</v>
      </c>
      <c r="I260" s="11">
        <v>0</v>
      </c>
      <c r="J260" t="s">
        <v>49</v>
      </c>
      <c r="K260" s="13" t="s">
        <v>695</v>
      </c>
      <c r="L260" s="15" t="s">
        <v>350</v>
      </c>
    </row>
    <row r="261" spans="1:12" ht="40.5">
      <c r="A261" s="4" t="s">
        <v>696</v>
      </c>
      <c r="B261" t="s">
        <v>44</v>
      </c>
      <c r="C261" t="s">
        <v>45</v>
      </c>
      <c r="D261" s="13" t="s">
        <v>697</v>
      </c>
      <c r="E261" t="s">
        <v>47</v>
      </c>
      <c r="F261" t="s">
        <v>48</v>
      </c>
      <c r="G261" s="9">
        <v>39000000</v>
      </c>
      <c r="H261" s="9">
        <v>0</v>
      </c>
      <c r="I261" s="11">
        <v>0</v>
      </c>
      <c r="J261" t="s">
        <v>49</v>
      </c>
      <c r="K261" s="13" t="s">
        <v>698</v>
      </c>
      <c r="L261" s="15" t="s">
        <v>350</v>
      </c>
    </row>
    <row r="262" spans="1:12" ht="40.5">
      <c r="A262" s="4" t="s">
        <v>699</v>
      </c>
      <c r="B262" t="s">
        <v>44</v>
      </c>
      <c r="C262" t="s">
        <v>45</v>
      </c>
      <c r="D262" s="13" t="s">
        <v>624</v>
      </c>
      <c r="E262" t="s">
        <v>47</v>
      </c>
      <c r="F262" t="s">
        <v>48</v>
      </c>
      <c r="G262" s="9">
        <v>35000000</v>
      </c>
      <c r="H262" s="9">
        <v>0</v>
      </c>
      <c r="I262" s="11">
        <v>0</v>
      </c>
      <c r="J262" t="s">
        <v>49</v>
      </c>
      <c r="K262" s="13" t="s">
        <v>700</v>
      </c>
      <c r="L262" s="15" t="s">
        <v>350</v>
      </c>
    </row>
    <row r="263" spans="1:12" ht="40.5">
      <c r="A263" s="4" t="s">
        <v>702</v>
      </c>
      <c r="B263" t="s">
        <v>44</v>
      </c>
      <c r="C263" t="s">
        <v>45</v>
      </c>
      <c r="D263" s="13" t="s">
        <v>208</v>
      </c>
      <c r="E263" t="s">
        <v>47</v>
      </c>
      <c r="F263" t="s">
        <v>48</v>
      </c>
      <c r="G263" s="9">
        <v>204000000</v>
      </c>
      <c r="H263" s="9">
        <v>0</v>
      </c>
      <c r="I263" s="11">
        <v>0</v>
      </c>
      <c r="J263" t="s">
        <v>466</v>
      </c>
      <c r="K263" s="13" t="s">
        <v>703</v>
      </c>
      <c r="L263" s="15" t="s">
        <v>468</v>
      </c>
    </row>
    <row r="264" spans="1:12" ht="40.5">
      <c r="A264" s="6" t="s">
        <v>704</v>
      </c>
      <c r="B264" s="7" t="s">
        <v>44</v>
      </c>
      <c r="C264" s="7" t="s">
        <v>45</v>
      </c>
      <c r="D264" s="14" t="s">
        <v>208</v>
      </c>
      <c r="E264" s="7" t="s">
        <v>47</v>
      </c>
      <c r="F264" s="7" t="s">
        <v>48</v>
      </c>
      <c r="G264" s="10">
        <v>52800000</v>
      </c>
      <c r="H264" s="10">
        <v>0</v>
      </c>
      <c r="I264" s="12">
        <v>0</v>
      </c>
      <c r="J264" s="7" t="s">
        <v>49</v>
      </c>
      <c r="K264" s="14" t="s">
        <v>705</v>
      </c>
      <c r="L264" s="16" t="s">
        <v>350</v>
      </c>
    </row>
  </sheetData>
  <mergeCells count="1">
    <mergeCell ref="A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8"/>
  <sheetViews>
    <sheetView workbookViewId="0"/>
  </sheetViews>
  <sheetFormatPr defaultRowHeight="13.5"/>
  <cols>
    <col min="1" max="1" width="18" customWidth="1"/>
    <col min="2" max="2" width="34" customWidth="1"/>
    <col min="3" max="3" width="20" customWidth="1"/>
    <col min="4" max="4" width="46" customWidth="1"/>
    <col min="5" max="5" width="18" customWidth="1"/>
    <col min="6" max="6" width="24" customWidth="1"/>
    <col min="7" max="8" width="18" customWidth="1"/>
    <col min="9" max="9" width="14" customWidth="1"/>
    <col min="10" max="10" width="18" customWidth="1"/>
    <col min="11" max="12" width="46" customWidth="1"/>
  </cols>
  <sheetData>
    <row r="1" spans="1:12" ht="17.649999999999999">
      <c r="A1" s="28" t="s">
        <v>726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3" spans="1:12" ht="13.9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717</v>
      </c>
      <c r="G3" s="2" t="s">
        <v>718</v>
      </c>
      <c r="H3" s="2" t="s">
        <v>719</v>
      </c>
      <c r="I3" s="2" t="s">
        <v>720</v>
      </c>
      <c r="J3" s="2" t="s">
        <v>721</v>
      </c>
      <c r="K3" s="2" t="s">
        <v>722</v>
      </c>
      <c r="L3" s="3" t="s">
        <v>723</v>
      </c>
    </row>
    <row r="4" spans="1:12">
      <c r="A4" s="4" t="s">
        <v>54</v>
      </c>
      <c r="B4" t="s">
        <v>44</v>
      </c>
      <c r="C4" t="s">
        <v>45</v>
      </c>
      <c r="D4" s="13" t="s">
        <v>55</v>
      </c>
      <c r="E4" t="s">
        <v>56</v>
      </c>
      <c r="F4" t="s">
        <v>57</v>
      </c>
      <c r="G4" s="9">
        <v>1239840000</v>
      </c>
      <c r="H4" s="9">
        <v>1239747264</v>
      </c>
      <c r="I4" s="11">
        <v>100</v>
      </c>
      <c r="J4" t="s">
        <v>49</v>
      </c>
      <c r="K4" s="13" t="s">
        <v>50</v>
      </c>
      <c r="L4" s="15" t="s">
        <v>51</v>
      </c>
    </row>
    <row r="5" spans="1:12" ht="27">
      <c r="A5" s="4" t="s">
        <v>58</v>
      </c>
      <c r="B5" t="s">
        <v>44</v>
      </c>
      <c r="C5" t="s">
        <v>45</v>
      </c>
      <c r="D5" s="13" t="s">
        <v>59</v>
      </c>
      <c r="E5" t="s">
        <v>56</v>
      </c>
      <c r="F5" t="s">
        <v>57</v>
      </c>
      <c r="G5" s="9">
        <v>708480000</v>
      </c>
      <c r="H5" s="9">
        <v>708427008</v>
      </c>
      <c r="I5" s="11">
        <v>100</v>
      </c>
      <c r="J5" t="s">
        <v>49</v>
      </c>
      <c r="K5" s="13" t="s">
        <v>50</v>
      </c>
      <c r="L5" s="15" t="s">
        <v>51</v>
      </c>
    </row>
    <row r="6" spans="1:12" ht="27">
      <c r="A6" s="4" t="s">
        <v>60</v>
      </c>
      <c r="B6" t="s">
        <v>44</v>
      </c>
      <c r="C6" t="s">
        <v>45</v>
      </c>
      <c r="D6" s="13" t="s">
        <v>61</v>
      </c>
      <c r="E6" t="s">
        <v>56</v>
      </c>
      <c r="F6" t="s">
        <v>57</v>
      </c>
      <c r="G6" s="9">
        <v>35700000</v>
      </c>
      <c r="H6" s="9">
        <v>34328304</v>
      </c>
      <c r="I6" s="11">
        <v>96</v>
      </c>
      <c r="J6" t="s">
        <v>49</v>
      </c>
      <c r="K6" s="13" t="s">
        <v>62</v>
      </c>
      <c r="L6" s="15" t="s">
        <v>63</v>
      </c>
    </row>
    <row r="7" spans="1:12" ht="27">
      <c r="A7" s="4" t="s">
        <v>266</v>
      </c>
      <c r="B7" t="s">
        <v>44</v>
      </c>
      <c r="C7" t="s">
        <v>45</v>
      </c>
      <c r="D7" s="13" t="s">
        <v>267</v>
      </c>
      <c r="E7" t="s">
        <v>56</v>
      </c>
      <c r="F7" t="s">
        <v>48</v>
      </c>
      <c r="G7" s="9">
        <v>12000000</v>
      </c>
      <c r="H7" s="9">
        <v>0</v>
      </c>
      <c r="I7" s="11">
        <v>0</v>
      </c>
      <c r="J7" t="s">
        <v>49</v>
      </c>
      <c r="K7" s="13" t="s">
        <v>268</v>
      </c>
      <c r="L7" s="15" t="s">
        <v>265</v>
      </c>
    </row>
    <row r="8" spans="1:12" ht="40.5">
      <c r="A8" s="4" t="s">
        <v>327</v>
      </c>
      <c r="B8" t="s">
        <v>44</v>
      </c>
      <c r="C8" t="s">
        <v>45</v>
      </c>
      <c r="D8" s="13" t="s">
        <v>328</v>
      </c>
      <c r="E8" t="s">
        <v>56</v>
      </c>
      <c r="F8" t="s">
        <v>329</v>
      </c>
      <c r="G8" s="9">
        <v>304800000</v>
      </c>
      <c r="H8" s="9">
        <v>167378232</v>
      </c>
      <c r="I8" s="11">
        <v>55</v>
      </c>
      <c r="J8" t="s">
        <v>49</v>
      </c>
      <c r="K8" s="13" t="s">
        <v>330</v>
      </c>
      <c r="L8" s="15" t="s">
        <v>260</v>
      </c>
    </row>
    <row r="9" spans="1:12" ht="27">
      <c r="A9" s="4" t="s">
        <v>331</v>
      </c>
      <c r="B9" t="s">
        <v>44</v>
      </c>
      <c r="C9" t="s">
        <v>45</v>
      </c>
      <c r="D9" s="13" t="s">
        <v>332</v>
      </c>
      <c r="E9" t="s">
        <v>56</v>
      </c>
      <c r="F9" t="s">
        <v>329</v>
      </c>
      <c r="G9" s="9">
        <v>26400000</v>
      </c>
      <c r="H9" s="9">
        <v>26302294</v>
      </c>
      <c r="I9" s="11">
        <v>100</v>
      </c>
      <c r="J9" t="s">
        <v>49</v>
      </c>
      <c r="K9" s="13" t="s">
        <v>333</v>
      </c>
      <c r="L9" s="15" t="s">
        <v>260</v>
      </c>
    </row>
    <row r="10" spans="1:12" ht="27">
      <c r="A10" s="4" t="s">
        <v>387</v>
      </c>
      <c r="B10" t="s">
        <v>44</v>
      </c>
      <c r="C10" t="s">
        <v>45</v>
      </c>
      <c r="D10" s="13" t="s">
        <v>208</v>
      </c>
      <c r="E10" t="s">
        <v>56</v>
      </c>
      <c r="F10" t="s">
        <v>329</v>
      </c>
      <c r="G10" s="9">
        <v>12000000</v>
      </c>
      <c r="H10" s="9">
        <v>11955588</v>
      </c>
      <c r="I10" s="11">
        <v>100</v>
      </c>
      <c r="J10" t="s">
        <v>49</v>
      </c>
      <c r="K10" s="13" t="s">
        <v>388</v>
      </c>
      <c r="L10" s="15" t="s">
        <v>260</v>
      </c>
    </row>
    <row r="11" spans="1:12" ht="27">
      <c r="A11" s="4" t="s">
        <v>389</v>
      </c>
      <c r="B11" t="s">
        <v>44</v>
      </c>
      <c r="C11" t="s">
        <v>45</v>
      </c>
      <c r="D11" s="13" t="s">
        <v>390</v>
      </c>
      <c r="E11" t="s">
        <v>56</v>
      </c>
      <c r="F11" t="s">
        <v>329</v>
      </c>
      <c r="G11" s="9">
        <v>102200000</v>
      </c>
      <c r="H11" s="9">
        <v>96852384</v>
      </c>
      <c r="I11" s="11">
        <v>95</v>
      </c>
      <c r="J11" t="s">
        <v>49</v>
      </c>
      <c r="K11" s="13" t="s">
        <v>391</v>
      </c>
      <c r="L11" s="15" t="s">
        <v>260</v>
      </c>
    </row>
    <row r="12" spans="1:12">
      <c r="A12" s="4" t="s">
        <v>606</v>
      </c>
      <c r="B12" t="s">
        <v>44</v>
      </c>
      <c r="C12" t="s">
        <v>45</v>
      </c>
      <c r="D12" s="13" t="s">
        <v>186</v>
      </c>
      <c r="E12" t="s">
        <v>56</v>
      </c>
      <c r="F12" t="s">
        <v>48</v>
      </c>
      <c r="G12" s="9">
        <v>11200000</v>
      </c>
      <c r="H12" s="9">
        <v>0</v>
      </c>
      <c r="I12" s="11">
        <v>0</v>
      </c>
      <c r="J12" t="s">
        <v>49</v>
      </c>
      <c r="K12" s="13" t="s">
        <v>527</v>
      </c>
      <c r="L12" s="15" t="s">
        <v>260</v>
      </c>
    </row>
    <row r="13" spans="1:12">
      <c r="A13" s="4" t="s">
        <v>607</v>
      </c>
      <c r="B13" t="s">
        <v>44</v>
      </c>
      <c r="C13" t="s">
        <v>45</v>
      </c>
      <c r="D13" s="13" t="s">
        <v>208</v>
      </c>
      <c r="E13" t="s">
        <v>56</v>
      </c>
      <c r="F13" t="s">
        <v>329</v>
      </c>
      <c r="G13" s="9">
        <v>9600000</v>
      </c>
      <c r="H13" s="9">
        <v>9564470</v>
      </c>
      <c r="I13" s="11">
        <v>100</v>
      </c>
      <c r="J13" t="s">
        <v>49</v>
      </c>
      <c r="K13" s="13" t="s">
        <v>527</v>
      </c>
      <c r="L13" s="15" t="s">
        <v>260</v>
      </c>
    </row>
    <row r="14" spans="1:12">
      <c r="A14" s="4" t="s">
        <v>608</v>
      </c>
      <c r="B14" t="s">
        <v>44</v>
      </c>
      <c r="C14" t="s">
        <v>45</v>
      </c>
      <c r="D14" s="13" t="s">
        <v>208</v>
      </c>
      <c r="E14" t="s">
        <v>56</v>
      </c>
      <c r="F14" t="s">
        <v>329</v>
      </c>
      <c r="G14" s="9">
        <v>7200000</v>
      </c>
      <c r="H14" s="9">
        <v>7173353</v>
      </c>
      <c r="I14" s="11">
        <v>100</v>
      </c>
      <c r="J14" t="s">
        <v>49</v>
      </c>
      <c r="K14" s="13" t="s">
        <v>527</v>
      </c>
      <c r="L14" s="15" t="s">
        <v>260</v>
      </c>
    </row>
    <row r="15" spans="1:12">
      <c r="A15" s="4" t="s">
        <v>647</v>
      </c>
      <c r="B15" t="s">
        <v>44</v>
      </c>
      <c r="C15" t="s">
        <v>45</v>
      </c>
      <c r="D15" s="13" t="s">
        <v>648</v>
      </c>
      <c r="E15" t="s">
        <v>56</v>
      </c>
      <c r="F15" t="s">
        <v>329</v>
      </c>
      <c r="G15" s="9">
        <v>22500000</v>
      </c>
      <c r="H15" s="9">
        <v>16375275</v>
      </c>
      <c r="I15" s="11">
        <v>73</v>
      </c>
      <c r="J15" t="s">
        <v>49</v>
      </c>
      <c r="K15" s="13" t="s">
        <v>527</v>
      </c>
      <c r="L15" s="15" t="s">
        <v>260</v>
      </c>
    </row>
    <row r="16" spans="1:12" ht="27">
      <c r="A16" s="4" t="s">
        <v>649</v>
      </c>
      <c r="B16" t="s">
        <v>44</v>
      </c>
      <c r="C16" t="s">
        <v>45</v>
      </c>
      <c r="D16" s="13" t="s">
        <v>650</v>
      </c>
      <c r="E16" t="s">
        <v>56</v>
      </c>
      <c r="F16" t="s">
        <v>57</v>
      </c>
      <c r="G16" s="9">
        <v>249600000</v>
      </c>
      <c r="H16" s="9">
        <v>81328190</v>
      </c>
      <c r="I16" s="11">
        <v>33</v>
      </c>
      <c r="J16" t="s">
        <v>49</v>
      </c>
      <c r="K16" s="13" t="s">
        <v>527</v>
      </c>
      <c r="L16" s="15" t="s">
        <v>260</v>
      </c>
    </row>
    <row r="17" spans="1:12" ht="27">
      <c r="A17" s="4" t="s">
        <v>691</v>
      </c>
      <c r="B17" t="s">
        <v>44</v>
      </c>
      <c r="C17" t="s">
        <v>45</v>
      </c>
      <c r="D17" s="13" t="s">
        <v>208</v>
      </c>
      <c r="E17" t="s">
        <v>56</v>
      </c>
      <c r="F17" t="s">
        <v>57</v>
      </c>
      <c r="G17" s="9">
        <v>12000000</v>
      </c>
      <c r="H17" s="9">
        <v>11960028</v>
      </c>
      <c r="I17" s="11">
        <v>100</v>
      </c>
      <c r="J17" t="s">
        <v>49</v>
      </c>
      <c r="K17" s="13" t="s">
        <v>692</v>
      </c>
      <c r="L17" s="15" t="s">
        <v>260</v>
      </c>
    </row>
    <row r="18" spans="1:12" ht="27">
      <c r="A18" s="4" t="s">
        <v>701</v>
      </c>
      <c r="B18" t="s">
        <v>44</v>
      </c>
      <c r="C18" t="s">
        <v>45</v>
      </c>
      <c r="D18" s="13" t="s">
        <v>208</v>
      </c>
      <c r="E18" t="s">
        <v>56</v>
      </c>
      <c r="F18" t="s">
        <v>48</v>
      </c>
      <c r="G18" s="9">
        <v>16800000</v>
      </c>
      <c r="H18" s="9">
        <v>0</v>
      </c>
      <c r="I18" s="11">
        <v>0</v>
      </c>
      <c r="J18" t="s">
        <v>49</v>
      </c>
      <c r="K18" s="13" t="s">
        <v>692</v>
      </c>
      <c r="L18" s="15" t="s">
        <v>260</v>
      </c>
    </row>
    <row r="19" spans="1:12">
      <c r="A19" s="4" t="s">
        <v>43</v>
      </c>
      <c r="B19" t="s">
        <v>44</v>
      </c>
      <c r="C19" t="s">
        <v>45</v>
      </c>
      <c r="D19" s="13" t="s">
        <v>46</v>
      </c>
      <c r="E19" t="s">
        <v>47</v>
      </c>
      <c r="F19" t="s">
        <v>48</v>
      </c>
      <c r="G19" s="9">
        <v>3000000</v>
      </c>
      <c r="H19" s="9">
        <v>0</v>
      </c>
      <c r="I19" s="11">
        <v>0</v>
      </c>
      <c r="J19" t="s">
        <v>49</v>
      </c>
      <c r="K19" s="13" t="s">
        <v>50</v>
      </c>
      <c r="L19" s="15" t="s">
        <v>51</v>
      </c>
    </row>
    <row r="20" spans="1:12" ht="27">
      <c r="A20" s="4" t="s">
        <v>66</v>
      </c>
      <c r="B20" t="s">
        <v>44</v>
      </c>
      <c r="C20" t="s">
        <v>45</v>
      </c>
      <c r="D20" s="13" t="s">
        <v>67</v>
      </c>
      <c r="E20" t="s">
        <v>47</v>
      </c>
      <c r="F20" t="s">
        <v>48</v>
      </c>
      <c r="G20" s="9">
        <v>35700000</v>
      </c>
      <c r="H20" s="9">
        <v>0</v>
      </c>
      <c r="I20" s="11">
        <v>0</v>
      </c>
      <c r="J20" t="s">
        <v>49</v>
      </c>
      <c r="K20" s="13" t="s">
        <v>62</v>
      </c>
      <c r="L20" s="15" t="s">
        <v>63</v>
      </c>
    </row>
    <row r="21" spans="1:12" ht="27">
      <c r="A21" s="4" t="s">
        <v>68</v>
      </c>
      <c r="B21" t="s">
        <v>44</v>
      </c>
      <c r="C21" t="s">
        <v>45</v>
      </c>
      <c r="D21" s="13" t="s">
        <v>69</v>
      </c>
      <c r="E21" t="s">
        <v>47</v>
      </c>
      <c r="F21" t="s">
        <v>48</v>
      </c>
      <c r="G21" s="9">
        <v>45900000</v>
      </c>
      <c r="H21" s="9">
        <v>0</v>
      </c>
      <c r="I21" s="11">
        <v>0</v>
      </c>
      <c r="J21" t="s">
        <v>49</v>
      </c>
      <c r="K21" s="13" t="s">
        <v>70</v>
      </c>
      <c r="L21" s="15" t="s">
        <v>63</v>
      </c>
    </row>
    <row r="22" spans="1:12" ht="27">
      <c r="A22" s="4" t="s">
        <v>71</v>
      </c>
      <c r="B22" t="s">
        <v>44</v>
      </c>
      <c r="C22" t="s">
        <v>45</v>
      </c>
      <c r="D22" s="13" t="s">
        <v>72</v>
      </c>
      <c r="E22" t="s">
        <v>47</v>
      </c>
      <c r="F22" t="s">
        <v>48</v>
      </c>
      <c r="G22" s="9">
        <v>20400000</v>
      </c>
      <c r="H22" s="9">
        <v>0</v>
      </c>
      <c r="I22" s="11">
        <v>0</v>
      </c>
      <c r="J22" t="s">
        <v>49</v>
      </c>
      <c r="K22" s="13" t="s">
        <v>73</v>
      </c>
      <c r="L22" s="15" t="s">
        <v>63</v>
      </c>
    </row>
    <row r="23" spans="1:12" ht="27">
      <c r="A23" s="4" t="s">
        <v>74</v>
      </c>
      <c r="B23" t="s">
        <v>44</v>
      </c>
      <c r="C23" t="s">
        <v>45</v>
      </c>
      <c r="D23" s="13" t="s">
        <v>75</v>
      </c>
      <c r="E23" t="s">
        <v>47</v>
      </c>
      <c r="F23" t="s">
        <v>48</v>
      </c>
      <c r="G23" s="9">
        <v>9000000</v>
      </c>
      <c r="H23" s="9">
        <v>0</v>
      </c>
      <c r="I23" s="11">
        <v>0</v>
      </c>
      <c r="J23" t="s">
        <v>49</v>
      </c>
      <c r="K23" s="13" t="s">
        <v>76</v>
      </c>
      <c r="L23" s="15" t="s">
        <v>63</v>
      </c>
    </row>
    <row r="24" spans="1:12" ht="27">
      <c r="A24" s="4" t="s">
        <v>77</v>
      </c>
      <c r="B24" t="s">
        <v>44</v>
      </c>
      <c r="C24" t="s">
        <v>45</v>
      </c>
      <c r="D24" s="13" t="s">
        <v>78</v>
      </c>
      <c r="E24" t="s">
        <v>47</v>
      </c>
      <c r="F24" t="s">
        <v>48</v>
      </c>
      <c r="G24" s="9">
        <v>9000000</v>
      </c>
      <c r="H24" s="9">
        <v>0</v>
      </c>
      <c r="I24" s="11">
        <v>0</v>
      </c>
      <c r="J24" t="s">
        <v>49</v>
      </c>
      <c r="K24" s="13" t="s">
        <v>76</v>
      </c>
      <c r="L24" s="15" t="s">
        <v>63</v>
      </c>
    </row>
    <row r="25" spans="1:12" ht="27">
      <c r="A25" s="4" t="s">
        <v>79</v>
      </c>
      <c r="B25" t="s">
        <v>44</v>
      </c>
      <c r="C25" t="s">
        <v>45</v>
      </c>
      <c r="D25" s="13" t="s">
        <v>80</v>
      </c>
      <c r="E25" t="s">
        <v>47</v>
      </c>
      <c r="F25" t="s">
        <v>48</v>
      </c>
      <c r="G25" s="9">
        <v>250000</v>
      </c>
      <c r="H25" s="9">
        <v>0</v>
      </c>
      <c r="I25" s="11">
        <v>0</v>
      </c>
      <c r="J25" t="s">
        <v>49</v>
      </c>
      <c r="K25" s="13" t="s">
        <v>81</v>
      </c>
      <c r="L25" s="15" t="s">
        <v>63</v>
      </c>
    </row>
    <row r="26" spans="1:12" ht="27">
      <c r="A26" s="4" t="s">
        <v>82</v>
      </c>
      <c r="B26" t="s">
        <v>44</v>
      </c>
      <c r="C26" t="s">
        <v>45</v>
      </c>
      <c r="D26" s="13" t="s">
        <v>83</v>
      </c>
      <c r="E26" t="s">
        <v>47</v>
      </c>
      <c r="F26" t="s">
        <v>84</v>
      </c>
      <c r="G26" s="9">
        <v>15000000</v>
      </c>
      <c r="H26" s="9">
        <v>14719559</v>
      </c>
      <c r="I26" s="11">
        <v>98</v>
      </c>
      <c r="J26" t="s">
        <v>49</v>
      </c>
      <c r="K26" s="13" t="s">
        <v>85</v>
      </c>
      <c r="L26" s="15" t="s">
        <v>63</v>
      </c>
    </row>
    <row r="27" spans="1:12" ht="27">
      <c r="A27" s="4" t="s">
        <v>87</v>
      </c>
      <c r="B27" t="s">
        <v>44</v>
      </c>
      <c r="C27" t="s">
        <v>45</v>
      </c>
      <c r="D27" s="13" t="s">
        <v>80</v>
      </c>
      <c r="E27" t="s">
        <v>47</v>
      </c>
      <c r="F27" t="s">
        <v>48</v>
      </c>
      <c r="G27" s="9">
        <v>150000</v>
      </c>
      <c r="H27" s="9">
        <v>0</v>
      </c>
      <c r="I27" s="11">
        <v>0</v>
      </c>
      <c r="J27" t="s">
        <v>49</v>
      </c>
      <c r="K27" s="13" t="s">
        <v>88</v>
      </c>
      <c r="L27" s="15" t="s">
        <v>63</v>
      </c>
    </row>
    <row r="28" spans="1:12" ht="27">
      <c r="A28" s="4" t="s">
        <v>89</v>
      </c>
      <c r="B28" t="s">
        <v>44</v>
      </c>
      <c r="C28" t="s">
        <v>45</v>
      </c>
      <c r="D28" s="13" t="s">
        <v>80</v>
      </c>
      <c r="E28" t="s">
        <v>47</v>
      </c>
      <c r="F28" t="s">
        <v>48</v>
      </c>
      <c r="G28" s="9">
        <v>500000</v>
      </c>
      <c r="H28" s="9">
        <v>0</v>
      </c>
      <c r="I28" s="11">
        <v>0</v>
      </c>
      <c r="J28" t="s">
        <v>49</v>
      </c>
      <c r="K28" s="13" t="s">
        <v>90</v>
      </c>
      <c r="L28" s="15" t="s">
        <v>63</v>
      </c>
    </row>
    <row r="29" spans="1:12" ht="27">
      <c r="A29" s="4" t="s">
        <v>99</v>
      </c>
      <c r="B29" t="s">
        <v>44</v>
      </c>
      <c r="C29" t="s">
        <v>45</v>
      </c>
      <c r="D29" s="13" t="s">
        <v>100</v>
      </c>
      <c r="E29" t="s">
        <v>47</v>
      </c>
      <c r="F29" t="s">
        <v>48</v>
      </c>
      <c r="G29" s="9">
        <v>11200000</v>
      </c>
      <c r="H29" s="9">
        <v>0</v>
      </c>
      <c r="I29" s="11">
        <v>0</v>
      </c>
      <c r="J29" t="s">
        <v>49</v>
      </c>
      <c r="K29" s="13" t="s">
        <v>101</v>
      </c>
      <c r="L29" s="15" t="s">
        <v>63</v>
      </c>
    </row>
    <row r="30" spans="1:12" ht="27">
      <c r="A30" s="4" t="s">
        <v>104</v>
      </c>
      <c r="B30" t="s">
        <v>44</v>
      </c>
      <c r="C30" t="s">
        <v>45</v>
      </c>
      <c r="D30" s="13" t="s">
        <v>105</v>
      </c>
      <c r="E30" t="s">
        <v>47</v>
      </c>
      <c r="F30" t="s">
        <v>48</v>
      </c>
      <c r="G30" s="9">
        <v>1120000</v>
      </c>
      <c r="H30" s="9">
        <v>0</v>
      </c>
      <c r="I30" s="11">
        <v>0</v>
      </c>
      <c r="J30" t="s">
        <v>49</v>
      </c>
      <c r="K30" s="13" t="s">
        <v>106</v>
      </c>
      <c r="L30" s="15" t="s">
        <v>63</v>
      </c>
    </row>
    <row r="31" spans="1:12" ht="27">
      <c r="A31" s="4" t="s">
        <v>107</v>
      </c>
      <c r="B31" t="s">
        <v>44</v>
      </c>
      <c r="C31" t="s">
        <v>45</v>
      </c>
      <c r="D31" s="13" t="s">
        <v>108</v>
      </c>
      <c r="E31" t="s">
        <v>47</v>
      </c>
      <c r="F31" t="s">
        <v>48</v>
      </c>
      <c r="G31" s="9">
        <v>7000000</v>
      </c>
      <c r="H31" s="9">
        <v>0</v>
      </c>
      <c r="I31" s="11">
        <v>0</v>
      </c>
      <c r="J31" t="s">
        <v>49</v>
      </c>
      <c r="K31" s="13" t="s">
        <v>109</v>
      </c>
      <c r="L31" s="15" t="s">
        <v>63</v>
      </c>
    </row>
    <row r="32" spans="1:12" ht="27">
      <c r="A32" s="4" t="s">
        <v>110</v>
      </c>
      <c r="B32" t="s">
        <v>44</v>
      </c>
      <c r="C32" t="s">
        <v>45</v>
      </c>
      <c r="D32" s="13" t="s">
        <v>80</v>
      </c>
      <c r="E32" t="s">
        <v>47</v>
      </c>
      <c r="F32" t="s">
        <v>48</v>
      </c>
      <c r="G32" s="9">
        <v>1750000</v>
      </c>
      <c r="H32" s="9">
        <v>0</v>
      </c>
      <c r="I32" s="11">
        <v>0</v>
      </c>
      <c r="J32" t="s">
        <v>49</v>
      </c>
      <c r="K32" s="13" t="s">
        <v>111</v>
      </c>
      <c r="L32" s="15" t="s">
        <v>63</v>
      </c>
    </row>
    <row r="33" spans="1:12" ht="40.5">
      <c r="A33" s="4" t="s">
        <v>112</v>
      </c>
      <c r="B33" t="s">
        <v>44</v>
      </c>
      <c r="C33" t="s">
        <v>45</v>
      </c>
      <c r="D33" s="13" t="s">
        <v>80</v>
      </c>
      <c r="E33" t="s">
        <v>47</v>
      </c>
      <c r="F33" t="s">
        <v>48</v>
      </c>
      <c r="G33" s="9">
        <v>75000</v>
      </c>
      <c r="H33" s="9">
        <v>0</v>
      </c>
      <c r="I33" s="11">
        <v>0</v>
      </c>
      <c r="J33" t="s">
        <v>49</v>
      </c>
      <c r="K33" s="13" t="s">
        <v>113</v>
      </c>
      <c r="L33" s="15" t="s">
        <v>63</v>
      </c>
    </row>
    <row r="34" spans="1:12" ht="27">
      <c r="A34" s="4" t="s">
        <v>114</v>
      </c>
      <c r="B34" t="s">
        <v>44</v>
      </c>
      <c r="C34" t="s">
        <v>45</v>
      </c>
      <c r="D34" s="13" t="s">
        <v>115</v>
      </c>
      <c r="E34" t="s">
        <v>47</v>
      </c>
      <c r="F34" t="s">
        <v>48</v>
      </c>
      <c r="G34" s="9">
        <v>18850000</v>
      </c>
      <c r="H34" s="9">
        <v>0</v>
      </c>
      <c r="I34" s="11">
        <v>0</v>
      </c>
      <c r="J34" t="s">
        <v>49</v>
      </c>
      <c r="K34" s="13" t="s">
        <v>116</v>
      </c>
      <c r="L34" s="15" t="s">
        <v>63</v>
      </c>
    </row>
    <row r="35" spans="1:12" ht="27">
      <c r="A35" s="4" t="s">
        <v>117</v>
      </c>
      <c r="B35" t="s">
        <v>44</v>
      </c>
      <c r="C35" t="s">
        <v>45</v>
      </c>
      <c r="D35" s="13" t="s">
        <v>118</v>
      </c>
      <c r="E35" t="s">
        <v>47</v>
      </c>
      <c r="F35" t="s">
        <v>48</v>
      </c>
      <c r="G35" s="9">
        <v>12000000</v>
      </c>
      <c r="H35" s="9">
        <v>0</v>
      </c>
      <c r="I35" s="11">
        <v>0</v>
      </c>
      <c r="J35" t="s">
        <v>49</v>
      </c>
      <c r="K35" s="13" t="s">
        <v>119</v>
      </c>
      <c r="L35" s="15" t="s">
        <v>63</v>
      </c>
    </row>
    <row r="36" spans="1:12" ht="27">
      <c r="A36" s="4" t="s">
        <v>120</v>
      </c>
      <c r="B36" t="s">
        <v>44</v>
      </c>
      <c r="C36" t="s">
        <v>45</v>
      </c>
      <c r="D36" s="13" t="s">
        <v>75</v>
      </c>
      <c r="E36" t="s">
        <v>47</v>
      </c>
      <c r="F36" t="s">
        <v>48</v>
      </c>
      <c r="G36" s="9">
        <v>1000000</v>
      </c>
      <c r="H36" s="9">
        <v>0</v>
      </c>
      <c r="I36" s="11">
        <v>0</v>
      </c>
      <c r="J36" t="s">
        <v>49</v>
      </c>
      <c r="K36" s="13" t="s">
        <v>121</v>
      </c>
      <c r="L36" s="15" t="s">
        <v>63</v>
      </c>
    </row>
    <row r="37" spans="1:12" ht="27">
      <c r="A37" s="4" t="s">
        <v>122</v>
      </c>
      <c r="B37" t="s">
        <v>44</v>
      </c>
      <c r="C37" t="s">
        <v>45</v>
      </c>
      <c r="D37" s="13" t="s">
        <v>105</v>
      </c>
      <c r="E37" t="s">
        <v>47</v>
      </c>
      <c r="F37" t="s">
        <v>48</v>
      </c>
      <c r="G37" s="9">
        <v>80000</v>
      </c>
      <c r="H37" s="9">
        <v>0</v>
      </c>
      <c r="I37" s="11">
        <v>0</v>
      </c>
      <c r="J37" t="s">
        <v>49</v>
      </c>
      <c r="K37" s="13" t="s">
        <v>123</v>
      </c>
      <c r="L37" s="15" t="s">
        <v>63</v>
      </c>
    </row>
    <row r="38" spans="1:12" ht="27">
      <c r="A38" s="4" t="s">
        <v>124</v>
      </c>
      <c r="B38" t="s">
        <v>44</v>
      </c>
      <c r="C38" t="s">
        <v>45</v>
      </c>
      <c r="D38" s="13" t="s">
        <v>125</v>
      </c>
      <c r="E38" t="s">
        <v>47</v>
      </c>
      <c r="F38" t="s">
        <v>48</v>
      </c>
      <c r="G38" s="9">
        <v>2250000</v>
      </c>
      <c r="H38" s="9">
        <v>0</v>
      </c>
      <c r="I38" s="11">
        <v>0</v>
      </c>
      <c r="J38" t="s">
        <v>49</v>
      </c>
      <c r="K38" s="13" t="s">
        <v>126</v>
      </c>
      <c r="L38" s="15" t="s">
        <v>63</v>
      </c>
    </row>
    <row r="39" spans="1:12" ht="27">
      <c r="A39" s="4" t="s">
        <v>127</v>
      </c>
      <c r="B39" t="s">
        <v>44</v>
      </c>
      <c r="C39" t="s">
        <v>45</v>
      </c>
      <c r="D39" s="13" t="s">
        <v>128</v>
      </c>
      <c r="E39" t="s">
        <v>47</v>
      </c>
      <c r="F39" t="s">
        <v>48</v>
      </c>
      <c r="G39" s="9">
        <v>2250000</v>
      </c>
      <c r="H39" s="9">
        <v>0</v>
      </c>
      <c r="I39" s="11">
        <v>0</v>
      </c>
      <c r="J39" t="s">
        <v>49</v>
      </c>
      <c r="K39" s="13" t="s">
        <v>126</v>
      </c>
      <c r="L39" s="15" t="s">
        <v>63</v>
      </c>
    </row>
    <row r="40" spans="1:12" ht="27">
      <c r="A40" s="4" t="s">
        <v>129</v>
      </c>
      <c r="B40" t="s">
        <v>44</v>
      </c>
      <c r="C40" t="s">
        <v>45</v>
      </c>
      <c r="D40" s="13" t="s">
        <v>130</v>
      </c>
      <c r="E40" t="s">
        <v>47</v>
      </c>
      <c r="F40" t="s">
        <v>48</v>
      </c>
      <c r="G40" s="9">
        <v>840000</v>
      </c>
      <c r="H40" s="9">
        <v>0</v>
      </c>
      <c r="I40" s="11">
        <v>0</v>
      </c>
      <c r="J40" t="s">
        <v>49</v>
      </c>
      <c r="K40" s="13" t="s">
        <v>131</v>
      </c>
      <c r="L40" s="15" t="s">
        <v>63</v>
      </c>
    </row>
    <row r="41" spans="1:12" ht="27">
      <c r="A41" s="4" t="s">
        <v>132</v>
      </c>
      <c r="B41" t="s">
        <v>44</v>
      </c>
      <c r="C41" t="s">
        <v>45</v>
      </c>
      <c r="D41" s="13" t="s">
        <v>75</v>
      </c>
      <c r="E41" t="s">
        <v>47</v>
      </c>
      <c r="F41" t="s">
        <v>48</v>
      </c>
      <c r="G41" s="9">
        <v>300000</v>
      </c>
      <c r="H41" s="9">
        <v>0</v>
      </c>
      <c r="I41" s="11">
        <v>0</v>
      </c>
      <c r="J41" t="s">
        <v>49</v>
      </c>
      <c r="K41" s="13" t="s">
        <v>133</v>
      </c>
      <c r="L41" s="15" t="s">
        <v>63</v>
      </c>
    </row>
    <row r="42" spans="1:12" ht="27">
      <c r="A42" s="4" t="s">
        <v>134</v>
      </c>
      <c r="B42" t="s">
        <v>44</v>
      </c>
      <c r="C42" t="s">
        <v>45</v>
      </c>
      <c r="D42" s="13" t="s">
        <v>135</v>
      </c>
      <c r="E42" t="s">
        <v>47</v>
      </c>
      <c r="F42" t="s">
        <v>48</v>
      </c>
      <c r="G42" s="9">
        <v>300000</v>
      </c>
      <c r="H42" s="9">
        <v>0</v>
      </c>
      <c r="I42" s="11">
        <v>0</v>
      </c>
      <c r="J42" t="s">
        <v>49</v>
      </c>
      <c r="K42" s="13" t="s">
        <v>133</v>
      </c>
      <c r="L42" s="15" t="s">
        <v>63</v>
      </c>
    </row>
    <row r="43" spans="1:12" ht="27">
      <c r="A43" s="4" t="s">
        <v>136</v>
      </c>
      <c r="B43" t="s">
        <v>44</v>
      </c>
      <c r="C43" t="s">
        <v>45</v>
      </c>
      <c r="D43" s="13" t="s">
        <v>80</v>
      </c>
      <c r="E43" t="s">
        <v>47</v>
      </c>
      <c r="F43" t="s">
        <v>48</v>
      </c>
      <c r="G43" s="9">
        <v>207000</v>
      </c>
      <c r="H43" s="9">
        <v>0</v>
      </c>
      <c r="I43" s="11">
        <v>0</v>
      </c>
      <c r="J43" t="s">
        <v>49</v>
      </c>
      <c r="K43" s="13" t="s">
        <v>137</v>
      </c>
      <c r="L43" s="15" t="s">
        <v>63</v>
      </c>
    </row>
    <row r="44" spans="1:12" ht="27">
      <c r="A44" s="4" t="s">
        <v>138</v>
      </c>
      <c r="B44" t="s">
        <v>44</v>
      </c>
      <c r="C44" t="s">
        <v>45</v>
      </c>
      <c r="D44" s="13" t="s">
        <v>78</v>
      </c>
      <c r="E44" t="s">
        <v>47</v>
      </c>
      <c r="F44" t="s">
        <v>48</v>
      </c>
      <c r="G44" s="9">
        <v>300000</v>
      </c>
      <c r="H44" s="9">
        <v>0</v>
      </c>
      <c r="I44" s="11">
        <v>0</v>
      </c>
      <c r="J44" t="s">
        <v>49</v>
      </c>
      <c r="K44" s="13" t="s">
        <v>133</v>
      </c>
      <c r="L44" s="15" t="s">
        <v>63</v>
      </c>
    </row>
    <row r="45" spans="1:12" ht="27">
      <c r="A45" s="4" t="s">
        <v>139</v>
      </c>
      <c r="B45" t="s">
        <v>44</v>
      </c>
      <c r="C45" t="s">
        <v>45</v>
      </c>
      <c r="D45" s="13" t="s">
        <v>140</v>
      </c>
      <c r="E45" t="s">
        <v>47</v>
      </c>
      <c r="F45" t="s">
        <v>48</v>
      </c>
      <c r="G45" s="9">
        <v>200000</v>
      </c>
      <c r="H45" s="9">
        <v>0</v>
      </c>
      <c r="I45" s="11">
        <v>0</v>
      </c>
      <c r="J45" t="s">
        <v>49</v>
      </c>
      <c r="K45" s="13" t="s">
        <v>141</v>
      </c>
      <c r="L45" s="15" t="s">
        <v>63</v>
      </c>
    </row>
    <row r="46" spans="1:12" ht="27">
      <c r="A46" s="4" t="s">
        <v>142</v>
      </c>
      <c r="B46" t="s">
        <v>44</v>
      </c>
      <c r="C46" t="s">
        <v>45</v>
      </c>
      <c r="D46" s="13" t="s">
        <v>143</v>
      </c>
      <c r="E46" t="s">
        <v>47</v>
      </c>
      <c r="F46" t="s">
        <v>48</v>
      </c>
      <c r="G46" s="9">
        <v>1000000</v>
      </c>
      <c r="H46" s="9">
        <v>0</v>
      </c>
      <c r="I46" s="11">
        <v>0</v>
      </c>
      <c r="J46" t="s">
        <v>49</v>
      </c>
      <c r="K46" s="13" t="s">
        <v>121</v>
      </c>
      <c r="L46" s="15" t="s">
        <v>63</v>
      </c>
    </row>
    <row r="47" spans="1:12" ht="27">
      <c r="A47" s="4" t="s">
        <v>144</v>
      </c>
      <c r="B47" t="s">
        <v>44</v>
      </c>
      <c r="C47" t="s">
        <v>45</v>
      </c>
      <c r="D47" s="13" t="s">
        <v>145</v>
      </c>
      <c r="E47" t="s">
        <v>47</v>
      </c>
      <c r="F47" t="s">
        <v>48</v>
      </c>
      <c r="G47" s="9">
        <v>2250000</v>
      </c>
      <c r="H47" s="9">
        <v>0</v>
      </c>
      <c r="I47" s="11">
        <v>0</v>
      </c>
      <c r="J47" t="s">
        <v>49</v>
      </c>
      <c r="K47" s="13" t="s">
        <v>126</v>
      </c>
      <c r="L47" s="15" t="s">
        <v>63</v>
      </c>
    </row>
    <row r="48" spans="1:12" ht="27">
      <c r="A48" s="4" t="s">
        <v>146</v>
      </c>
      <c r="B48" t="s">
        <v>44</v>
      </c>
      <c r="C48" t="s">
        <v>45</v>
      </c>
      <c r="D48" s="13" t="s">
        <v>147</v>
      </c>
      <c r="E48" t="s">
        <v>47</v>
      </c>
      <c r="F48" t="s">
        <v>48</v>
      </c>
      <c r="G48" s="9">
        <v>2100000</v>
      </c>
      <c r="H48" s="9">
        <v>0</v>
      </c>
      <c r="I48" s="11">
        <v>0</v>
      </c>
      <c r="J48" t="s">
        <v>49</v>
      </c>
      <c r="K48" s="13" t="s">
        <v>148</v>
      </c>
      <c r="L48" s="15" t="s">
        <v>63</v>
      </c>
    </row>
    <row r="49" spans="1:12" ht="27">
      <c r="A49" s="4" t="s">
        <v>149</v>
      </c>
      <c r="B49" t="s">
        <v>44</v>
      </c>
      <c r="C49" t="s">
        <v>45</v>
      </c>
      <c r="D49" s="13" t="s">
        <v>75</v>
      </c>
      <c r="E49" t="s">
        <v>47</v>
      </c>
      <c r="F49" t="s">
        <v>48</v>
      </c>
      <c r="G49" s="9">
        <v>375000</v>
      </c>
      <c r="H49" s="9">
        <v>0</v>
      </c>
      <c r="I49" s="11">
        <v>0</v>
      </c>
      <c r="J49" t="s">
        <v>49</v>
      </c>
      <c r="K49" s="13" t="s">
        <v>150</v>
      </c>
      <c r="L49" s="15" t="s">
        <v>63</v>
      </c>
    </row>
    <row r="50" spans="1:12" ht="27">
      <c r="A50" s="4" t="s">
        <v>151</v>
      </c>
      <c r="B50" t="s">
        <v>44</v>
      </c>
      <c r="C50" t="s">
        <v>45</v>
      </c>
      <c r="D50" s="13" t="s">
        <v>147</v>
      </c>
      <c r="E50" t="s">
        <v>47</v>
      </c>
      <c r="F50" t="s">
        <v>48</v>
      </c>
      <c r="G50" s="9">
        <v>371000</v>
      </c>
      <c r="H50" s="9">
        <v>0</v>
      </c>
      <c r="I50" s="11">
        <v>0</v>
      </c>
      <c r="J50" t="s">
        <v>49</v>
      </c>
      <c r="K50" s="13" t="s">
        <v>152</v>
      </c>
      <c r="L50" s="15" t="s">
        <v>63</v>
      </c>
    </row>
    <row r="51" spans="1:12" ht="27">
      <c r="A51" s="4" t="s">
        <v>153</v>
      </c>
      <c r="B51" t="s">
        <v>44</v>
      </c>
      <c r="C51" t="s">
        <v>45</v>
      </c>
      <c r="D51" s="13" t="s">
        <v>80</v>
      </c>
      <c r="E51" t="s">
        <v>47</v>
      </c>
      <c r="F51" t="s">
        <v>48</v>
      </c>
      <c r="G51" s="9">
        <v>110000</v>
      </c>
      <c r="H51" s="9">
        <v>0</v>
      </c>
      <c r="I51" s="11">
        <v>0</v>
      </c>
      <c r="J51" t="s">
        <v>49</v>
      </c>
      <c r="K51" s="13" t="s">
        <v>154</v>
      </c>
      <c r="L51" s="15" t="s">
        <v>63</v>
      </c>
    </row>
    <row r="52" spans="1:12" ht="27">
      <c r="A52" s="4" t="s">
        <v>155</v>
      </c>
      <c r="B52" t="s">
        <v>44</v>
      </c>
      <c r="C52" t="s">
        <v>45</v>
      </c>
      <c r="D52" s="13" t="s">
        <v>130</v>
      </c>
      <c r="E52" t="s">
        <v>47</v>
      </c>
      <c r="F52" t="s">
        <v>48</v>
      </c>
      <c r="G52" s="9">
        <v>154000</v>
      </c>
      <c r="H52" s="9">
        <v>0</v>
      </c>
      <c r="I52" s="11">
        <v>0</v>
      </c>
      <c r="J52" t="s">
        <v>49</v>
      </c>
      <c r="K52" s="13" t="s">
        <v>156</v>
      </c>
      <c r="L52" s="15" t="s">
        <v>63</v>
      </c>
    </row>
    <row r="53" spans="1:12" ht="27">
      <c r="A53" s="4" t="s">
        <v>157</v>
      </c>
      <c r="B53" t="s">
        <v>44</v>
      </c>
      <c r="C53" t="s">
        <v>45</v>
      </c>
      <c r="D53" s="13" t="s">
        <v>78</v>
      </c>
      <c r="E53" t="s">
        <v>47</v>
      </c>
      <c r="F53" t="s">
        <v>48</v>
      </c>
      <c r="G53" s="9">
        <v>375000</v>
      </c>
      <c r="H53" s="9">
        <v>0</v>
      </c>
      <c r="I53" s="11">
        <v>0</v>
      </c>
      <c r="J53" t="s">
        <v>49</v>
      </c>
      <c r="K53" s="13" t="s">
        <v>150</v>
      </c>
      <c r="L53" s="15" t="s">
        <v>63</v>
      </c>
    </row>
    <row r="54" spans="1:12" ht="27">
      <c r="A54" s="4" t="s">
        <v>158</v>
      </c>
      <c r="B54" t="s">
        <v>44</v>
      </c>
      <c r="C54" t="s">
        <v>45</v>
      </c>
      <c r="D54" s="13" t="s">
        <v>159</v>
      </c>
      <c r="E54" t="s">
        <v>47</v>
      </c>
      <c r="F54" t="s">
        <v>48</v>
      </c>
      <c r="G54" s="9">
        <v>125000</v>
      </c>
      <c r="H54" s="9">
        <v>0</v>
      </c>
      <c r="I54" s="11">
        <v>0</v>
      </c>
      <c r="J54" t="s">
        <v>49</v>
      </c>
      <c r="K54" s="13" t="s">
        <v>160</v>
      </c>
      <c r="L54" s="15" t="s">
        <v>63</v>
      </c>
    </row>
    <row r="55" spans="1:12" ht="27">
      <c r="A55" s="4" t="s">
        <v>161</v>
      </c>
      <c r="B55" t="s">
        <v>44</v>
      </c>
      <c r="C55" t="s">
        <v>45</v>
      </c>
      <c r="D55" s="13" t="s">
        <v>162</v>
      </c>
      <c r="E55" t="s">
        <v>47</v>
      </c>
      <c r="F55" t="s">
        <v>48</v>
      </c>
      <c r="G55" s="9">
        <v>750000</v>
      </c>
      <c r="H55" s="9">
        <v>0</v>
      </c>
      <c r="I55" s="11">
        <v>0</v>
      </c>
      <c r="J55" t="s">
        <v>49</v>
      </c>
      <c r="K55" s="13" t="s">
        <v>163</v>
      </c>
      <c r="L55" s="15" t="s">
        <v>63</v>
      </c>
    </row>
    <row r="56" spans="1:12" ht="27">
      <c r="A56" s="4" t="s">
        <v>164</v>
      </c>
      <c r="B56" t="s">
        <v>44</v>
      </c>
      <c r="C56" t="s">
        <v>45</v>
      </c>
      <c r="D56" s="13" t="s">
        <v>92</v>
      </c>
      <c r="E56" t="s">
        <v>47</v>
      </c>
      <c r="F56" t="s">
        <v>48</v>
      </c>
      <c r="G56" s="9">
        <v>13580000</v>
      </c>
      <c r="H56" s="9">
        <v>0</v>
      </c>
      <c r="I56" s="11">
        <v>0</v>
      </c>
      <c r="J56" t="s">
        <v>49</v>
      </c>
      <c r="K56" s="13" t="s">
        <v>165</v>
      </c>
      <c r="L56" s="15" t="s">
        <v>63</v>
      </c>
    </row>
    <row r="57" spans="1:12" ht="27">
      <c r="A57" s="4" t="s">
        <v>166</v>
      </c>
      <c r="B57" t="s">
        <v>44</v>
      </c>
      <c r="C57" t="s">
        <v>45</v>
      </c>
      <c r="D57" s="13" t="s">
        <v>115</v>
      </c>
      <c r="E57" t="s">
        <v>47</v>
      </c>
      <c r="F57" t="s">
        <v>48</v>
      </c>
      <c r="G57" s="9">
        <v>2000000</v>
      </c>
      <c r="H57" s="9">
        <v>0</v>
      </c>
      <c r="I57" s="11">
        <v>0</v>
      </c>
      <c r="J57" t="s">
        <v>49</v>
      </c>
      <c r="K57" s="13" t="s">
        <v>167</v>
      </c>
      <c r="L57" s="15" t="s">
        <v>63</v>
      </c>
    </row>
    <row r="58" spans="1:12" ht="27">
      <c r="A58" s="4" t="s">
        <v>168</v>
      </c>
      <c r="B58" t="s">
        <v>44</v>
      </c>
      <c r="C58" t="s">
        <v>45</v>
      </c>
      <c r="D58" s="13" t="s">
        <v>92</v>
      </c>
      <c r="E58" t="s">
        <v>47</v>
      </c>
      <c r="F58" t="s">
        <v>48</v>
      </c>
      <c r="G58" s="9">
        <v>13580000</v>
      </c>
      <c r="H58" s="9">
        <v>0</v>
      </c>
      <c r="I58" s="11">
        <v>0</v>
      </c>
      <c r="J58" t="s">
        <v>49</v>
      </c>
      <c r="K58" s="13" t="s">
        <v>165</v>
      </c>
      <c r="L58" s="15" t="s">
        <v>63</v>
      </c>
    </row>
    <row r="59" spans="1:12" ht="27">
      <c r="A59" s="4" t="s">
        <v>169</v>
      </c>
      <c r="B59" t="s">
        <v>44</v>
      </c>
      <c r="C59" t="s">
        <v>45</v>
      </c>
      <c r="D59" s="13" t="s">
        <v>115</v>
      </c>
      <c r="E59" t="s">
        <v>47</v>
      </c>
      <c r="F59" t="s">
        <v>48</v>
      </c>
      <c r="G59" s="9">
        <v>2000000</v>
      </c>
      <c r="H59" s="9">
        <v>0</v>
      </c>
      <c r="I59" s="11">
        <v>0</v>
      </c>
      <c r="J59" t="s">
        <v>49</v>
      </c>
      <c r="K59" s="13" t="s">
        <v>170</v>
      </c>
      <c r="L59" s="15" t="s">
        <v>171</v>
      </c>
    </row>
    <row r="60" spans="1:12" ht="27">
      <c r="A60" s="4" t="s">
        <v>172</v>
      </c>
      <c r="B60" t="s">
        <v>44</v>
      </c>
      <c r="C60" t="s">
        <v>45</v>
      </c>
      <c r="D60" s="13" t="s">
        <v>147</v>
      </c>
      <c r="E60" t="s">
        <v>47</v>
      </c>
      <c r="F60" t="s">
        <v>48</v>
      </c>
      <c r="G60" s="9">
        <v>371000</v>
      </c>
      <c r="H60" s="9">
        <v>0</v>
      </c>
      <c r="I60" s="11">
        <v>0</v>
      </c>
      <c r="J60" t="s">
        <v>49</v>
      </c>
      <c r="K60" s="13" t="s">
        <v>152</v>
      </c>
      <c r="L60" s="15" t="s">
        <v>63</v>
      </c>
    </row>
    <row r="61" spans="1:12" ht="27">
      <c r="A61" s="4" t="s">
        <v>173</v>
      </c>
      <c r="B61" t="s">
        <v>44</v>
      </c>
      <c r="C61" t="s">
        <v>45</v>
      </c>
      <c r="D61" s="13" t="s">
        <v>162</v>
      </c>
      <c r="E61" t="s">
        <v>47</v>
      </c>
      <c r="F61" t="s">
        <v>48</v>
      </c>
      <c r="G61" s="9">
        <v>750000</v>
      </c>
      <c r="H61" s="9">
        <v>0</v>
      </c>
      <c r="I61" s="11">
        <v>0</v>
      </c>
      <c r="J61" t="s">
        <v>49</v>
      </c>
      <c r="K61" s="13" t="s">
        <v>163</v>
      </c>
      <c r="L61" s="15" t="s">
        <v>63</v>
      </c>
    </row>
    <row r="62" spans="1:12" ht="27">
      <c r="A62" s="4" t="s">
        <v>174</v>
      </c>
      <c r="B62" t="s">
        <v>44</v>
      </c>
      <c r="C62" t="s">
        <v>45</v>
      </c>
      <c r="D62" s="13" t="s">
        <v>159</v>
      </c>
      <c r="E62" t="s">
        <v>47</v>
      </c>
      <c r="F62" t="s">
        <v>48</v>
      </c>
      <c r="G62" s="9">
        <v>125000</v>
      </c>
      <c r="H62" s="9">
        <v>0</v>
      </c>
      <c r="I62" s="11">
        <v>0</v>
      </c>
      <c r="J62" t="s">
        <v>49</v>
      </c>
      <c r="K62" s="13" t="s">
        <v>160</v>
      </c>
      <c r="L62" s="15" t="s">
        <v>63</v>
      </c>
    </row>
    <row r="63" spans="1:12" ht="27">
      <c r="A63" s="4" t="s">
        <v>175</v>
      </c>
      <c r="B63" t="s">
        <v>44</v>
      </c>
      <c r="C63" t="s">
        <v>45</v>
      </c>
      <c r="D63" s="13" t="s">
        <v>75</v>
      </c>
      <c r="E63" t="s">
        <v>47</v>
      </c>
      <c r="F63" t="s">
        <v>48</v>
      </c>
      <c r="G63" s="9">
        <v>375000</v>
      </c>
      <c r="H63" s="9">
        <v>0</v>
      </c>
      <c r="I63" s="11">
        <v>0</v>
      </c>
      <c r="J63" t="s">
        <v>49</v>
      </c>
      <c r="K63" s="13" t="s">
        <v>150</v>
      </c>
      <c r="L63" s="15" t="s">
        <v>63</v>
      </c>
    </row>
    <row r="64" spans="1:12" ht="27">
      <c r="A64" s="4" t="s">
        <v>176</v>
      </c>
      <c r="B64" t="s">
        <v>44</v>
      </c>
      <c r="C64" t="s">
        <v>45</v>
      </c>
      <c r="D64" s="13" t="s">
        <v>78</v>
      </c>
      <c r="E64" t="s">
        <v>47</v>
      </c>
      <c r="F64" t="s">
        <v>48</v>
      </c>
      <c r="G64" s="9">
        <v>375000</v>
      </c>
      <c r="H64" s="9">
        <v>0</v>
      </c>
      <c r="I64" s="11">
        <v>0</v>
      </c>
      <c r="J64" t="s">
        <v>49</v>
      </c>
      <c r="K64" s="13" t="s">
        <v>150</v>
      </c>
      <c r="L64" s="15" t="s">
        <v>63</v>
      </c>
    </row>
    <row r="65" spans="1:12" ht="27">
      <c r="A65" s="4" t="s">
        <v>177</v>
      </c>
      <c r="B65" t="s">
        <v>44</v>
      </c>
      <c r="C65" t="s">
        <v>45</v>
      </c>
      <c r="D65" s="13" t="s">
        <v>130</v>
      </c>
      <c r="E65" t="s">
        <v>47</v>
      </c>
      <c r="F65" t="s">
        <v>48</v>
      </c>
      <c r="G65" s="9">
        <v>154000</v>
      </c>
      <c r="H65" s="9">
        <v>0</v>
      </c>
      <c r="I65" s="11">
        <v>0</v>
      </c>
      <c r="J65" t="s">
        <v>49</v>
      </c>
      <c r="K65" s="13" t="s">
        <v>156</v>
      </c>
      <c r="L65" s="15" t="s">
        <v>63</v>
      </c>
    </row>
    <row r="66" spans="1:12" ht="27">
      <c r="A66" s="4" t="s">
        <v>178</v>
      </c>
      <c r="B66" t="s">
        <v>44</v>
      </c>
      <c r="C66" t="s">
        <v>45</v>
      </c>
      <c r="D66" s="13" t="s">
        <v>80</v>
      </c>
      <c r="E66" t="s">
        <v>47</v>
      </c>
      <c r="F66" t="s">
        <v>48</v>
      </c>
      <c r="G66" s="9">
        <v>110000</v>
      </c>
      <c r="H66" s="9">
        <v>0</v>
      </c>
      <c r="I66" s="11">
        <v>0</v>
      </c>
      <c r="J66" t="s">
        <v>49</v>
      </c>
      <c r="K66" s="13" t="s">
        <v>154</v>
      </c>
      <c r="L66" s="15" t="s">
        <v>63</v>
      </c>
    </row>
    <row r="67" spans="1:12" ht="27">
      <c r="A67" s="4" t="s">
        <v>179</v>
      </c>
      <c r="B67" t="s">
        <v>44</v>
      </c>
      <c r="C67" t="s">
        <v>45</v>
      </c>
      <c r="D67" s="13" t="s">
        <v>75</v>
      </c>
      <c r="E67" t="s">
        <v>47</v>
      </c>
      <c r="F67" t="s">
        <v>48</v>
      </c>
      <c r="G67" s="9">
        <v>7000000</v>
      </c>
      <c r="H67" s="9">
        <v>0</v>
      </c>
      <c r="I67" s="11">
        <v>0</v>
      </c>
      <c r="J67" t="s">
        <v>49</v>
      </c>
      <c r="K67" s="13" t="s">
        <v>109</v>
      </c>
      <c r="L67" s="15" t="s">
        <v>63</v>
      </c>
    </row>
    <row r="68" spans="1:12" ht="27">
      <c r="A68" s="4" t="s">
        <v>180</v>
      </c>
      <c r="B68" t="s">
        <v>44</v>
      </c>
      <c r="C68" t="s">
        <v>45</v>
      </c>
      <c r="D68" s="13" t="s">
        <v>181</v>
      </c>
      <c r="E68" t="s">
        <v>47</v>
      </c>
      <c r="F68" t="s">
        <v>48</v>
      </c>
      <c r="G68" s="9">
        <v>4480000</v>
      </c>
      <c r="H68" s="9">
        <v>0</v>
      </c>
      <c r="I68" s="11">
        <v>0</v>
      </c>
      <c r="J68" t="s">
        <v>49</v>
      </c>
      <c r="K68" s="13" t="s">
        <v>182</v>
      </c>
      <c r="L68" s="15" t="s">
        <v>63</v>
      </c>
    </row>
    <row r="69" spans="1:12" ht="40.5">
      <c r="A69" s="4" t="s">
        <v>183</v>
      </c>
      <c r="B69" t="s">
        <v>44</v>
      </c>
      <c r="C69" t="s">
        <v>45</v>
      </c>
      <c r="D69" s="13" t="s">
        <v>46</v>
      </c>
      <c r="E69" t="s">
        <v>47</v>
      </c>
      <c r="F69" t="s">
        <v>48</v>
      </c>
      <c r="G69" s="9">
        <v>1750000</v>
      </c>
      <c r="H69" s="9">
        <v>0</v>
      </c>
      <c r="I69" s="11">
        <v>0</v>
      </c>
      <c r="J69" t="s">
        <v>49</v>
      </c>
      <c r="K69" s="13" t="s">
        <v>184</v>
      </c>
      <c r="L69" s="15" t="s">
        <v>63</v>
      </c>
    </row>
    <row r="70" spans="1:12" ht="27">
      <c r="A70" s="4" t="s">
        <v>185</v>
      </c>
      <c r="B70" t="s">
        <v>44</v>
      </c>
      <c r="C70" t="s">
        <v>45</v>
      </c>
      <c r="D70" s="13" t="s">
        <v>186</v>
      </c>
      <c r="E70" t="s">
        <v>47</v>
      </c>
      <c r="F70" t="s">
        <v>48</v>
      </c>
      <c r="G70" s="9">
        <v>5600000</v>
      </c>
      <c r="H70" s="9">
        <v>0</v>
      </c>
      <c r="I70" s="11">
        <v>0</v>
      </c>
      <c r="J70" t="s">
        <v>49</v>
      </c>
      <c r="K70" s="13" t="s">
        <v>187</v>
      </c>
      <c r="L70" s="15" t="s">
        <v>63</v>
      </c>
    </row>
    <row r="71" spans="1:12" ht="27">
      <c r="A71" s="4" t="s">
        <v>188</v>
      </c>
      <c r="B71" t="s">
        <v>44</v>
      </c>
      <c r="C71" t="s">
        <v>45</v>
      </c>
      <c r="D71" s="13" t="s">
        <v>189</v>
      </c>
      <c r="E71" t="s">
        <v>47</v>
      </c>
      <c r="F71" t="s">
        <v>48</v>
      </c>
      <c r="G71" s="9">
        <v>21760000</v>
      </c>
      <c r="H71" s="9">
        <v>0</v>
      </c>
      <c r="I71" s="11">
        <v>0</v>
      </c>
      <c r="J71" t="s">
        <v>49</v>
      </c>
      <c r="K71" s="13" t="s">
        <v>190</v>
      </c>
      <c r="L71" s="15" t="s">
        <v>63</v>
      </c>
    </row>
    <row r="72" spans="1:12" ht="27">
      <c r="A72" s="4" t="s">
        <v>191</v>
      </c>
      <c r="B72" t="s">
        <v>44</v>
      </c>
      <c r="C72" t="s">
        <v>45</v>
      </c>
      <c r="D72" s="13" t="s">
        <v>80</v>
      </c>
      <c r="E72" t="s">
        <v>47</v>
      </c>
      <c r="F72" t="s">
        <v>48</v>
      </c>
      <c r="G72" s="9">
        <v>1750000</v>
      </c>
      <c r="H72" s="9">
        <v>0</v>
      </c>
      <c r="I72" s="11">
        <v>0</v>
      </c>
      <c r="J72" t="s">
        <v>49</v>
      </c>
      <c r="K72" s="13" t="s">
        <v>111</v>
      </c>
      <c r="L72" s="15" t="s">
        <v>63</v>
      </c>
    </row>
    <row r="73" spans="1:12" ht="27">
      <c r="A73" s="4" t="s">
        <v>192</v>
      </c>
      <c r="B73" t="s">
        <v>44</v>
      </c>
      <c r="C73" t="s">
        <v>45</v>
      </c>
      <c r="D73" s="13" t="s">
        <v>100</v>
      </c>
      <c r="E73" t="s">
        <v>47</v>
      </c>
      <c r="F73" t="s">
        <v>48</v>
      </c>
      <c r="G73" s="9">
        <v>11200000</v>
      </c>
      <c r="H73" s="9">
        <v>0</v>
      </c>
      <c r="I73" s="11">
        <v>0</v>
      </c>
      <c r="J73" t="s">
        <v>49</v>
      </c>
      <c r="K73" s="13" t="s">
        <v>101</v>
      </c>
      <c r="L73" s="15" t="s">
        <v>63</v>
      </c>
    </row>
    <row r="74" spans="1:12" ht="27">
      <c r="A74" s="4" t="s">
        <v>193</v>
      </c>
      <c r="B74" t="s">
        <v>44</v>
      </c>
      <c r="C74" t="s">
        <v>45</v>
      </c>
      <c r="D74" s="13" t="s">
        <v>105</v>
      </c>
      <c r="E74" t="s">
        <v>47</v>
      </c>
      <c r="F74" t="s">
        <v>48</v>
      </c>
      <c r="G74" s="9">
        <v>1120000</v>
      </c>
      <c r="H74" s="9">
        <v>0</v>
      </c>
      <c r="I74" s="11">
        <v>0</v>
      </c>
      <c r="J74" t="s">
        <v>49</v>
      </c>
      <c r="K74" s="13" t="s">
        <v>106</v>
      </c>
      <c r="L74" s="15" t="s">
        <v>63</v>
      </c>
    </row>
    <row r="75" spans="1:12" ht="27">
      <c r="A75" s="4" t="s">
        <v>194</v>
      </c>
      <c r="B75" t="s">
        <v>44</v>
      </c>
      <c r="C75" t="s">
        <v>45</v>
      </c>
      <c r="D75" s="13" t="s">
        <v>75</v>
      </c>
      <c r="E75" t="s">
        <v>47</v>
      </c>
      <c r="F75" t="s">
        <v>48</v>
      </c>
      <c r="G75" s="9">
        <v>3500000</v>
      </c>
      <c r="H75" s="9">
        <v>0</v>
      </c>
      <c r="I75" s="11">
        <v>0</v>
      </c>
      <c r="J75" t="s">
        <v>49</v>
      </c>
      <c r="K75" s="13" t="s">
        <v>195</v>
      </c>
      <c r="L75" s="15" t="s">
        <v>63</v>
      </c>
    </row>
    <row r="76" spans="1:12" ht="27">
      <c r="A76" s="4" t="s">
        <v>196</v>
      </c>
      <c r="B76" t="s">
        <v>44</v>
      </c>
      <c r="C76" t="s">
        <v>45</v>
      </c>
      <c r="D76" s="13" t="s">
        <v>78</v>
      </c>
      <c r="E76" t="s">
        <v>47</v>
      </c>
      <c r="F76" t="s">
        <v>48</v>
      </c>
      <c r="G76" s="9">
        <v>3500000</v>
      </c>
      <c r="H76" s="9">
        <v>0</v>
      </c>
      <c r="I76" s="11">
        <v>0</v>
      </c>
      <c r="J76" t="s">
        <v>49</v>
      </c>
      <c r="K76" s="13" t="s">
        <v>195</v>
      </c>
      <c r="L76" s="15" t="s">
        <v>63</v>
      </c>
    </row>
    <row r="77" spans="1:12" ht="27">
      <c r="A77" s="4" t="s">
        <v>197</v>
      </c>
      <c r="B77" t="s">
        <v>44</v>
      </c>
      <c r="C77" t="s">
        <v>45</v>
      </c>
      <c r="D77" s="13" t="s">
        <v>46</v>
      </c>
      <c r="E77" t="s">
        <v>47</v>
      </c>
      <c r="F77" t="s">
        <v>48</v>
      </c>
      <c r="G77" s="9">
        <v>1750000</v>
      </c>
      <c r="H77" s="9">
        <v>0</v>
      </c>
      <c r="I77" s="11">
        <v>0</v>
      </c>
      <c r="J77" t="s">
        <v>49</v>
      </c>
      <c r="K77" s="13" t="s">
        <v>111</v>
      </c>
      <c r="L77" s="15" t="s">
        <v>63</v>
      </c>
    </row>
    <row r="78" spans="1:12" ht="27">
      <c r="A78" s="4" t="s">
        <v>198</v>
      </c>
      <c r="B78" t="s">
        <v>44</v>
      </c>
      <c r="C78" t="s">
        <v>45</v>
      </c>
      <c r="D78" s="13" t="s">
        <v>199</v>
      </c>
      <c r="E78" t="s">
        <v>47</v>
      </c>
      <c r="F78" t="s">
        <v>48</v>
      </c>
      <c r="G78" s="9">
        <v>33280000</v>
      </c>
      <c r="H78" s="9">
        <v>0</v>
      </c>
      <c r="I78" s="11">
        <v>0</v>
      </c>
      <c r="J78" t="s">
        <v>49</v>
      </c>
      <c r="K78" s="13" t="s">
        <v>200</v>
      </c>
      <c r="L78" s="15" t="s">
        <v>63</v>
      </c>
    </row>
    <row r="79" spans="1:12" ht="40.5">
      <c r="A79" s="4" t="s">
        <v>201</v>
      </c>
      <c r="B79" t="s">
        <v>44</v>
      </c>
      <c r="C79" t="s">
        <v>45</v>
      </c>
      <c r="D79" s="13" t="s">
        <v>80</v>
      </c>
      <c r="E79" t="s">
        <v>47</v>
      </c>
      <c r="F79" t="s">
        <v>48</v>
      </c>
      <c r="G79" s="9">
        <v>1000000</v>
      </c>
      <c r="H79" s="9">
        <v>0</v>
      </c>
      <c r="I79" s="11">
        <v>0</v>
      </c>
      <c r="J79" t="s">
        <v>49</v>
      </c>
      <c r="K79" s="13" t="s">
        <v>202</v>
      </c>
      <c r="L79" s="15" t="s">
        <v>63</v>
      </c>
    </row>
    <row r="80" spans="1:12" ht="40.5">
      <c r="A80" s="4" t="s">
        <v>203</v>
      </c>
      <c r="B80" t="s">
        <v>44</v>
      </c>
      <c r="C80" t="s">
        <v>45</v>
      </c>
      <c r="D80" s="13" t="s">
        <v>100</v>
      </c>
      <c r="E80" t="s">
        <v>47</v>
      </c>
      <c r="F80" t="s">
        <v>48</v>
      </c>
      <c r="G80" s="9">
        <v>6400000</v>
      </c>
      <c r="H80" s="9">
        <v>0</v>
      </c>
      <c r="I80" s="11">
        <v>0</v>
      </c>
      <c r="J80" t="s">
        <v>49</v>
      </c>
      <c r="K80" s="13" t="s">
        <v>204</v>
      </c>
      <c r="L80" s="15" t="s">
        <v>63</v>
      </c>
    </row>
    <row r="81" spans="1:12" ht="27">
      <c r="A81" s="4" t="s">
        <v>205</v>
      </c>
      <c r="B81" t="s">
        <v>44</v>
      </c>
      <c r="C81" t="s">
        <v>45</v>
      </c>
      <c r="D81" s="13" t="s">
        <v>105</v>
      </c>
      <c r="E81" t="s">
        <v>47</v>
      </c>
      <c r="F81" t="s">
        <v>48</v>
      </c>
      <c r="G81" s="9">
        <v>640000</v>
      </c>
      <c r="H81" s="9">
        <v>0</v>
      </c>
      <c r="I81" s="11">
        <v>0</v>
      </c>
      <c r="J81" t="s">
        <v>49</v>
      </c>
      <c r="K81" s="13" t="s">
        <v>206</v>
      </c>
      <c r="L81" s="15" t="s">
        <v>63</v>
      </c>
    </row>
    <row r="82" spans="1:12" ht="27">
      <c r="A82" s="4" t="s">
        <v>207</v>
      </c>
      <c r="B82" t="s">
        <v>44</v>
      </c>
      <c r="C82" t="s">
        <v>45</v>
      </c>
      <c r="D82" s="13" t="s">
        <v>208</v>
      </c>
      <c r="E82" t="s">
        <v>47</v>
      </c>
      <c r="F82" t="s">
        <v>48</v>
      </c>
      <c r="G82" s="9">
        <v>9600000</v>
      </c>
      <c r="H82" s="9">
        <v>0</v>
      </c>
      <c r="I82" s="11">
        <v>0</v>
      </c>
      <c r="J82" t="s">
        <v>49</v>
      </c>
      <c r="K82" s="13" t="s">
        <v>209</v>
      </c>
      <c r="L82" s="15" t="s">
        <v>63</v>
      </c>
    </row>
    <row r="83" spans="1:12" ht="27">
      <c r="A83" s="4" t="s">
        <v>210</v>
      </c>
      <c r="B83" t="s">
        <v>44</v>
      </c>
      <c r="C83" t="s">
        <v>45</v>
      </c>
      <c r="D83" s="13" t="s">
        <v>211</v>
      </c>
      <c r="E83" t="s">
        <v>47</v>
      </c>
      <c r="F83" t="s">
        <v>48</v>
      </c>
      <c r="G83" s="9">
        <v>44000000</v>
      </c>
      <c r="H83" s="9">
        <v>0</v>
      </c>
      <c r="I83" s="11">
        <v>0</v>
      </c>
      <c r="J83" t="s">
        <v>49</v>
      </c>
      <c r="K83" s="13" t="s">
        <v>212</v>
      </c>
      <c r="L83" s="15" t="s">
        <v>63</v>
      </c>
    </row>
    <row r="84" spans="1:12" ht="27">
      <c r="A84" s="4" t="s">
        <v>213</v>
      </c>
      <c r="B84" t="s">
        <v>44</v>
      </c>
      <c r="C84" t="s">
        <v>45</v>
      </c>
      <c r="D84" s="13" t="s">
        <v>214</v>
      </c>
      <c r="E84" t="s">
        <v>47</v>
      </c>
      <c r="F84" t="s">
        <v>48</v>
      </c>
      <c r="G84" s="9">
        <v>48000000</v>
      </c>
      <c r="H84" s="9">
        <v>0</v>
      </c>
      <c r="I84" s="11">
        <v>0</v>
      </c>
      <c r="J84" t="s">
        <v>49</v>
      </c>
      <c r="K84" s="13" t="s">
        <v>215</v>
      </c>
      <c r="L84" s="15" t="s">
        <v>63</v>
      </c>
    </row>
    <row r="85" spans="1:12" ht="27">
      <c r="A85" s="4" t="s">
        <v>216</v>
      </c>
      <c r="B85" t="s">
        <v>44</v>
      </c>
      <c r="C85" t="s">
        <v>45</v>
      </c>
      <c r="D85" s="13" t="s">
        <v>75</v>
      </c>
      <c r="E85" t="s">
        <v>47</v>
      </c>
      <c r="F85" t="s">
        <v>48</v>
      </c>
      <c r="G85" s="9">
        <v>3280000</v>
      </c>
      <c r="H85" s="9">
        <v>0</v>
      </c>
      <c r="I85" s="11">
        <v>0</v>
      </c>
      <c r="J85" t="s">
        <v>49</v>
      </c>
      <c r="K85" s="13" t="s">
        <v>217</v>
      </c>
      <c r="L85" s="15" t="s">
        <v>63</v>
      </c>
    </row>
    <row r="86" spans="1:12" ht="27">
      <c r="A86" s="4" t="s">
        <v>218</v>
      </c>
      <c r="B86" t="s">
        <v>44</v>
      </c>
      <c r="C86" t="s">
        <v>45</v>
      </c>
      <c r="D86" s="13" t="s">
        <v>78</v>
      </c>
      <c r="E86" t="s">
        <v>47</v>
      </c>
      <c r="F86" t="s">
        <v>48</v>
      </c>
      <c r="G86" s="9">
        <v>2000000</v>
      </c>
      <c r="H86" s="9">
        <v>0</v>
      </c>
      <c r="I86" s="11">
        <v>0</v>
      </c>
      <c r="J86" t="s">
        <v>49</v>
      </c>
      <c r="K86" s="13" t="s">
        <v>167</v>
      </c>
      <c r="L86" s="15" t="s">
        <v>63</v>
      </c>
    </row>
    <row r="87" spans="1:12" ht="40.5">
      <c r="A87" s="4" t="s">
        <v>219</v>
      </c>
      <c r="B87" t="s">
        <v>44</v>
      </c>
      <c r="C87" t="s">
        <v>45</v>
      </c>
      <c r="D87" s="13" t="s">
        <v>46</v>
      </c>
      <c r="E87" t="s">
        <v>47</v>
      </c>
      <c r="F87" t="s">
        <v>48</v>
      </c>
      <c r="G87" s="9">
        <v>1000000</v>
      </c>
      <c r="H87" s="9">
        <v>0</v>
      </c>
      <c r="I87" s="11">
        <v>0</v>
      </c>
      <c r="J87" t="s">
        <v>49</v>
      </c>
      <c r="K87" s="13" t="s">
        <v>202</v>
      </c>
      <c r="L87" s="15" t="s">
        <v>63</v>
      </c>
    </row>
    <row r="88" spans="1:12" ht="27">
      <c r="A88" s="4" t="s">
        <v>220</v>
      </c>
      <c r="B88" t="s">
        <v>44</v>
      </c>
      <c r="C88" t="s">
        <v>45</v>
      </c>
      <c r="D88" s="13" t="s">
        <v>105</v>
      </c>
      <c r="E88" t="s">
        <v>47</v>
      </c>
      <c r="F88" t="s">
        <v>48</v>
      </c>
      <c r="G88" s="9">
        <v>1120000</v>
      </c>
      <c r="H88" s="9">
        <v>0</v>
      </c>
      <c r="I88" s="11">
        <v>0</v>
      </c>
      <c r="J88" t="s">
        <v>49</v>
      </c>
      <c r="K88" s="13" t="s">
        <v>106</v>
      </c>
      <c r="L88" s="15" t="s">
        <v>63</v>
      </c>
    </row>
    <row r="89" spans="1:12" ht="27">
      <c r="A89" s="4" t="s">
        <v>221</v>
      </c>
      <c r="B89" t="s">
        <v>44</v>
      </c>
      <c r="C89" t="s">
        <v>45</v>
      </c>
      <c r="D89" s="13" t="s">
        <v>78</v>
      </c>
      <c r="E89" t="s">
        <v>47</v>
      </c>
      <c r="F89" t="s">
        <v>48</v>
      </c>
      <c r="G89" s="9">
        <v>2800000</v>
      </c>
      <c r="H89" s="9">
        <v>0</v>
      </c>
      <c r="I89" s="11">
        <v>0</v>
      </c>
      <c r="J89" t="s">
        <v>49</v>
      </c>
      <c r="K89" s="13" t="s">
        <v>222</v>
      </c>
      <c r="L89" s="15" t="s">
        <v>171</v>
      </c>
    </row>
    <row r="90" spans="1:12" ht="27">
      <c r="A90" s="4" t="s">
        <v>223</v>
      </c>
      <c r="B90" t="s">
        <v>44</v>
      </c>
      <c r="C90" t="s">
        <v>45</v>
      </c>
      <c r="D90" s="13" t="s">
        <v>100</v>
      </c>
      <c r="E90" t="s">
        <v>47</v>
      </c>
      <c r="F90" t="s">
        <v>48</v>
      </c>
      <c r="G90" s="9">
        <v>11200000</v>
      </c>
      <c r="H90" s="9">
        <v>0</v>
      </c>
      <c r="I90" s="11">
        <v>0</v>
      </c>
      <c r="J90" t="s">
        <v>49</v>
      </c>
      <c r="K90" s="13" t="s">
        <v>101</v>
      </c>
      <c r="L90" s="15" t="s">
        <v>63</v>
      </c>
    </row>
    <row r="91" spans="1:12" ht="27">
      <c r="A91" s="4" t="s">
        <v>224</v>
      </c>
      <c r="B91" t="s">
        <v>44</v>
      </c>
      <c r="C91" t="s">
        <v>45</v>
      </c>
      <c r="D91" s="13" t="s">
        <v>46</v>
      </c>
      <c r="E91" t="s">
        <v>47</v>
      </c>
      <c r="F91" t="s">
        <v>48</v>
      </c>
      <c r="G91" s="9">
        <v>1400000</v>
      </c>
      <c r="H91" s="9">
        <v>0</v>
      </c>
      <c r="I91" s="11">
        <v>0</v>
      </c>
      <c r="J91" t="s">
        <v>49</v>
      </c>
      <c r="K91" s="13" t="s">
        <v>225</v>
      </c>
      <c r="L91" s="15" t="s">
        <v>63</v>
      </c>
    </row>
    <row r="92" spans="1:12" ht="27">
      <c r="A92" s="4" t="s">
        <v>226</v>
      </c>
      <c r="B92" t="s">
        <v>44</v>
      </c>
      <c r="C92" t="s">
        <v>45</v>
      </c>
      <c r="D92" s="13" t="s">
        <v>80</v>
      </c>
      <c r="E92" t="s">
        <v>47</v>
      </c>
      <c r="F92" t="s">
        <v>48</v>
      </c>
      <c r="G92" s="9">
        <v>1750000</v>
      </c>
      <c r="H92" s="9">
        <v>0</v>
      </c>
      <c r="I92" s="11">
        <v>0</v>
      </c>
      <c r="J92" t="s">
        <v>49</v>
      </c>
      <c r="K92" s="13" t="s">
        <v>111</v>
      </c>
      <c r="L92" s="15" t="s">
        <v>63</v>
      </c>
    </row>
    <row r="93" spans="1:12" ht="27">
      <c r="A93" s="4" t="s">
        <v>227</v>
      </c>
      <c r="B93" t="s">
        <v>44</v>
      </c>
      <c r="C93" t="s">
        <v>45</v>
      </c>
      <c r="D93" s="13" t="s">
        <v>75</v>
      </c>
      <c r="E93" t="s">
        <v>47</v>
      </c>
      <c r="F93" t="s">
        <v>48</v>
      </c>
      <c r="G93" s="9">
        <v>3234000</v>
      </c>
      <c r="H93" s="9">
        <v>0</v>
      </c>
      <c r="I93" s="11">
        <v>0</v>
      </c>
      <c r="J93" t="s">
        <v>49</v>
      </c>
      <c r="K93" s="13" t="s">
        <v>228</v>
      </c>
      <c r="L93" s="15" t="s">
        <v>63</v>
      </c>
    </row>
    <row r="94" spans="1:12" ht="27">
      <c r="A94" s="4" t="s">
        <v>229</v>
      </c>
      <c r="B94" t="s">
        <v>44</v>
      </c>
      <c r="C94" t="s">
        <v>45</v>
      </c>
      <c r="D94" s="13" t="s">
        <v>80</v>
      </c>
      <c r="E94" t="s">
        <v>47</v>
      </c>
      <c r="F94" t="s">
        <v>48</v>
      </c>
      <c r="G94" s="9">
        <v>1250000</v>
      </c>
      <c r="H94" s="9">
        <v>0</v>
      </c>
      <c r="I94" s="11">
        <v>0</v>
      </c>
      <c r="J94" t="s">
        <v>49</v>
      </c>
      <c r="K94" s="13" t="s">
        <v>230</v>
      </c>
      <c r="L94" s="15" t="s">
        <v>63</v>
      </c>
    </row>
    <row r="95" spans="1:12" ht="27">
      <c r="A95" s="4" t="s">
        <v>231</v>
      </c>
      <c r="B95" t="s">
        <v>44</v>
      </c>
      <c r="C95" t="s">
        <v>45</v>
      </c>
      <c r="D95" s="13" t="s">
        <v>232</v>
      </c>
      <c r="E95" t="s">
        <v>47</v>
      </c>
      <c r="F95" t="s">
        <v>48</v>
      </c>
      <c r="G95" s="9">
        <v>23040000</v>
      </c>
      <c r="H95" s="9">
        <v>0</v>
      </c>
      <c r="I95" s="11">
        <v>0</v>
      </c>
      <c r="J95" t="s">
        <v>49</v>
      </c>
      <c r="K95" s="13" t="s">
        <v>233</v>
      </c>
      <c r="L95" s="15" t="s">
        <v>63</v>
      </c>
    </row>
    <row r="96" spans="1:12" ht="27">
      <c r="A96" s="4" t="s">
        <v>234</v>
      </c>
      <c r="B96" t="s">
        <v>44</v>
      </c>
      <c r="C96" t="s">
        <v>45</v>
      </c>
      <c r="D96" s="13" t="s">
        <v>100</v>
      </c>
      <c r="E96" t="s">
        <v>47</v>
      </c>
      <c r="F96" t="s">
        <v>48</v>
      </c>
      <c r="G96" s="9">
        <v>8000000</v>
      </c>
      <c r="H96" s="9">
        <v>0</v>
      </c>
      <c r="I96" s="11">
        <v>0</v>
      </c>
      <c r="J96" t="s">
        <v>49</v>
      </c>
      <c r="K96" s="13" t="s">
        <v>235</v>
      </c>
      <c r="L96" s="15" t="s">
        <v>63</v>
      </c>
    </row>
    <row r="97" spans="1:12" ht="27">
      <c r="A97" s="4" t="s">
        <v>236</v>
      </c>
      <c r="B97" t="s">
        <v>44</v>
      </c>
      <c r="C97" t="s">
        <v>45</v>
      </c>
      <c r="D97" s="13" t="s">
        <v>237</v>
      </c>
      <c r="E97" t="s">
        <v>47</v>
      </c>
      <c r="F97" t="s">
        <v>48</v>
      </c>
      <c r="G97" s="9">
        <v>13440000</v>
      </c>
      <c r="H97" s="9">
        <v>0</v>
      </c>
      <c r="I97" s="11">
        <v>0</v>
      </c>
      <c r="J97" t="s">
        <v>49</v>
      </c>
      <c r="K97" s="13" t="s">
        <v>238</v>
      </c>
      <c r="L97" s="15" t="s">
        <v>63</v>
      </c>
    </row>
    <row r="98" spans="1:12" ht="27">
      <c r="A98" s="4" t="s">
        <v>239</v>
      </c>
      <c r="B98" t="s">
        <v>44</v>
      </c>
      <c r="C98" t="s">
        <v>45</v>
      </c>
      <c r="D98" s="13" t="s">
        <v>186</v>
      </c>
      <c r="E98" t="s">
        <v>47</v>
      </c>
      <c r="F98" t="s">
        <v>48</v>
      </c>
      <c r="G98" s="9">
        <v>5600000</v>
      </c>
      <c r="H98" s="9">
        <v>0</v>
      </c>
      <c r="I98" s="11">
        <v>0</v>
      </c>
      <c r="J98" t="s">
        <v>49</v>
      </c>
      <c r="K98" s="13" t="s">
        <v>187</v>
      </c>
      <c r="L98" s="15" t="s">
        <v>63</v>
      </c>
    </row>
    <row r="99" spans="1:12" ht="27">
      <c r="A99" s="4" t="s">
        <v>240</v>
      </c>
      <c r="B99" t="s">
        <v>44</v>
      </c>
      <c r="C99" t="s">
        <v>45</v>
      </c>
      <c r="D99" s="13" t="s">
        <v>105</v>
      </c>
      <c r="E99" t="s">
        <v>47</v>
      </c>
      <c r="F99" t="s">
        <v>48</v>
      </c>
      <c r="G99" s="9">
        <v>800000</v>
      </c>
      <c r="H99" s="9">
        <v>0</v>
      </c>
      <c r="I99" s="11">
        <v>0</v>
      </c>
      <c r="J99" t="s">
        <v>49</v>
      </c>
      <c r="K99" s="13" t="s">
        <v>241</v>
      </c>
      <c r="L99" s="15" t="s">
        <v>63</v>
      </c>
    </row>
    <row r="100" spans="1:12" ht="27">
      <c r="A100" s="4" t="s">
        <v>242</v>
      </c>
      <c r="B100" t="s">
        <v>44</v>
      </c>
      <c r="C100" t="s">
        <v>45</v>
      </c>
      <c r="D100" s="13" t="s">
        <v>75</v>
      </c>
      <c r="E100" t="s">
        <v>47</v>
      </c>
      <c r="F100" t="s">
        <v>48</v>
      </c>
      <c r="G100" s="9">
        <v>7500000</v>
      </c>
      <c r="H100" s="9">
        <v>0</v>
      </c>
      <c r="I100" s="11">
        <v>0</v>
      </c>
      <c r="J100" t="s">
        <v>49</v>
      </c>
      <c r="K100" s="13" t="s">
        <v>241</v>
      </c>
      <c r="L100" s="15" t="s">
        <v>63</v>
      </c>
    </row>
    <row r="101" spans="1:12" ht="27">
      <c r="A101" s="4" t="s">
        <v>243</v>
      </c>
      <c r="B101" t="s">
        <v>44</v>
      </c>
      <c r="C101" t="s">
        <v>45</v>
      </c>
      <c r="D101" s="13" t="s">
        <v>78</v>
      </c>
      <c r="E101" t="s">
        <v>47</v>
      </c>
      <c r="F101" t="s">
        <v>48</v>
      </c>
      <c r="G101" s="9">
        <v>7500000</v>
      </c>
      <c r="H101" s="9">
        <v>0</v>
      </c>
      <c r="I101" s="11">
        <v>0</v>
      </c>
      <c r="J101" t="s">
        <v>49</v>
      </c>
      <c r="K101" s="13" t="s">
        <v>241</v>
      </c>
      <c r="L101" s="15" t="s">
        <v>63</v>
      </c>
    </row>
    <row r="102" spans="1:12" ht="27">
      <c r="A102" s="4" t="s">
        <v>244</v>
      </c>
      <c r="B102" t="s">
        <v>44</v>
      </c>
      <c r="C102" t="s">
        <v>45</v>
      </c>
      <c r="D102" s="13" t="s">
        <v>46</v>
      </c>
      <c r="E102" t="s">
        <v>47</v>
      </c>
      <c r="F102" t="s">
        <v>48</v>
      </c>
      <c r="G102" s="9">
        <v>3570000</v>
      </c>
      <c r="H102" s="9">
        <v>0</v>
      </c>
      <c r="I102" s="11">
        <v>0</v>
      </c>
      <c r="J102" t="s">
        <v>49</v>
      </c>
      <c r="K102" s="13" t="s">
        <v>241</v>
      </c>
      <c r="L102" s="15" t="s">
        <v>63</v>
      </c>
    </row>
    <row r="103" spans="1:12" ht="27">
      <c r="A103" s="4" t="s">
        <v>245</v>
      </c>
      <c r="B103" t="s">
        <v>44</v>
      </c>
      <c r="C103" t="s">
        <v>45</v>
      </c>
      <c r="D103" s="13" t="s">
        <v>199</v>
      </c>
      <c r="E103" t="s">
        <v>47</v>
      </c>
      <c r="F103" t="s">
        <v>48</v>
      </c>
      <c r="G103" s="9">
        <v>16640000</v>
      </c>
      <c r="H103" s="9">
        <v>0</v>
      </c>
      <c r="I103" s="11">
        <v>0</v>
      </c>
      <c r="J103" t="s">
        <v>49</v>
      </c>
      <c r="K103" s="13" t="s">
        <v>241</v>
      </c>
      <c r="L103" s="15" t="s">
        <v>63</v>
      </c>
    </row>
    <row r="104" spans="1:12" ht="27">
      <c r="A104" s="4" t="s">
        <v>246</v>
      </c>
      <c r="B104" t="s">
        <v>44</v>
      </c>
      <c r="C104" t="s">
        <v>45</v>
      </c>
      <c r="D104" s="13" t="s">
        <v>80</v>
      </c>
      <c r="E104" t="s">
        <v>47</v>
      </c>
      <c r="F104" t="s">
        <v>48</v>
      </c>
      <c r="G104" s="9">
        <v>500000</v>
      </c>
      <c r="H104" s="9">
        <v>0</v>
      </c>
      <c r="I104" s="11">
        <v>0</v>
      </c>
      <c r="J104" t="s">
        <v>49</v>
      </c>
      <c r="K104" s="13" t="s">
        <v>241</v>
      </c>
      <c r="L104" s="15" t="s">
        <v>63</v>
      </c>
    </row>
    <row r="105" spans="1:12" ht="40.5">
      <c r="A105" s="4" t="s">
        <v>247</v>
      </c>
      <c r="B105" t="s">
        <v>44</v>
      </c>
      <c r="C105" t="s">
        <v>45</v>
      </c>
      <c r="D105" s="13" t="s">
        <v>100</v>
      </c>
      <c r="E105" t="s">
        <v>47</v>
      </c>
      <c r="F105" t="s">
        <v>48</v>
      </c>
      <c r="G105" s="9">
        <v>3200000</v>
      </c>
      <c r="H105" s="9">
        <v>0</v>
      </c>
      <c r="I105" s="11">
        <v>0</v>
      </c>
      <c r="J105" t="s">
        <v>49</v>
      </c>
      <c r="K105" s="13" t="s">
        <v>248</v>
      </c>
      <c r="L105" s="15" t="s">
        <v>63</v>
      </c>
    </row>
    <row r="106" spans="1:12" ht="27">
      <c r="A106" s="4" t="s">
        <v>249</v>
      </c>
      <c r="B106" t="s">
        <v>44</v>
      </c>
      <c r="C106" t="s">
        <v>45</v>
      </c>
      <c r="D106" s="13" t="s">
        <v>105</v>
      </c>
      <c r="E106" t="s">
        <v>47</v>
      </c>
      <c r="F106" t="s">
        <v>48</v>
      </c>
      <c r="G106" s="9">
        <v>320000</v>
      </c>
      <c r="H106" s="9">
        <v>0</v>
      </c>
      <c r="I106" s="11">
        <v>0</v>
      </c>
      <c r="J106" t="s">
        <v>49</v>
      </c>
      <c r="K106" s="13" t="s">
        <v>241</v>
      </c>
      <c r="L106" s="15" t="s">
        <v>63</v>
      </c>
    </row>
    <row r="107" spans="1:12" ht="27">
      <c r="A107" s="4" t="s">
        <v>250</v>
      </c>
      <c r="B107" t="s">
        <v>44</v>
      </c>
      <c r="C107" t="s">
        <v>45</v>
      </c>
      <c r="D107" s="13" t="s">
        <v>208</v>
      </c>
      <c r="E107" t="s">
        <v>47</v>
      </c>
      <c r="F107" t="s">
        <v>48</v>
      </c>
      <c r="G107" s="9">
        <v>4800000</v>
      </c>
      <c r="H107" s="9">
        <v>0</v>
      </c>
      <c r="I107" s="11">
        <v>0</v>
      </c>
      <c r="J107" t="s">
        <v>49</v>
      </c>
      <c r="K107" s="13" t="s">
        <v>241</v>
      </c>
      <c r="L107" s="15" t="s">
        <v>63</v>
      </c>
    </row>
    <row r="108" spans="1:12" ht="40.5">
      <c r="A108" s="4" t="s">
        <v>251</v>
      </c>
      <c r="B108" t="s">
        <v>44</v>
      </c>
      <c r="C108" t="s">
        <v>45</v>
      </c>
      <c r="D108" s="13" t="s">
        <v>252</v>
      </c>
      <c r="E108" t="s">
        <v>47</v>
      </c>
      <c r="F108" t="s">
        <v>48</v>
      </c>
      <c r="G108" s="9">
        <v>79344000</v>
      </c>
      <c r="H108" s="9">
        <v>0</v>
      </c>
      <c r="I108" s="11">
        <v>0</v>
      </c>
      <c r="J108" t="s">
        <v>49</v>
      </c>
      <c r="K108" s="13" t="s">
        <v>253</v>
      </c>
      <c r="L108" s="15" t="s">
        <v>254</v>
      </c>
    </row>
    <row r="109" spans="1:12" ht="27">
      <c r="A109" s="4" t="s">
        <v>255</v>
      </c>
      <c r="B109" t="s">
        <v>44</v>
      </c>
      <c r="C109" t="s">
        <v>45</v>
      </c>
      <c r="D109" s="13" t="s">
        <v>75</v>
      </c>
      <c r="E109" t="s">
        <v>47</v>
      </c>
      <c r="F109" t="s">
        <v>48</v>
      </c>
      <c r="G109" s="9">
        <v>2000000</v>
      </c>
      <c r="H109" s="9">
        <v>0</v>
      </c>
      <c r="I109" s="11">
        <v>0</v>
      </c>
      <c r="J109" t="s">
        <v>49</v>
      </c>
      <c r="K109" s="13" t="s">
        <v>241</v>
      </c>
      <c r="L109" s="15" t="s">
        <v>63</v>
      </c>
    </row>
    <row r="110" spans="1:12" ht="27">
      <c r="A110" s="4" t="s">
        <v>256</v>
      </c>
      <c r="B110" t="s">
        <v>44</v>
      </c>
      <c r="C110" t="s">
        <v>45</v>
      </c>
      <c r="D110" s="13" t="s">
        <v>78</v>
      </c>
      <c r="E110" t="s">
        <v>47</v>
      </c>
      <c r="F110" t="s">
        <v>48</v>
      </c>
      <c r="G110" s="9">
        <v>2000000</v>
      </c>
      <c r="H110" s="9">
        <v>0</v>
      </c>
      <c r="I110" s="11">
        <v>0</v>
      </c>
      <c r="J110" t="s">
        <v>49</v>
      </c>
      <c r="K110" s="13" t="s">
        <v>241</v>
      </c>
      <c r="L110" s="15" t="s">
        <v>63</v>
      </c>
    </row>
    <row r="111" spans="1:12" ht="27">
      <c r="A111" s="4" t="s">
        <v>257</v>
      </c>
      <c r="B111" t="s">
        <v>44</v>
      </c>
      <c r="C111" t="s">
        <v>45</v>
      </c>
      <c r="D111" s="13" t="s">
        <v>46</v>
      </c>
      <c r="E111" t="s">
        <v>47</v>
      </c>
      <c r="F111" t="s">
        <v>48</v>
      </c>
      <c r="G111" s="9">
        <v>500000</v>
      </c>
      <c r="H111" s="9">
        <v>0</v>
      </c>
      <c r="I111" s="11">
        <v>0</v>
      </c>
      <c r="J111" t="s">
        <v>49</v>
      </c>
      <c r="K111" s="13" t="s">
        <v>241</v>
      </c>
      <c r="L111" s="15" t="s">
        <v>63</v>
      </c>
    </row>
    <row r="112" spans="1:12" ht="27">
      <c r="A112" s="4" t="s">
        <v>258</v>
      </c>
      <c r="B112" t="s">
        <v>44</v>
      </c>
      <c r="C112" t="s">
        <v>45</v>
      </c>
      <c r="D112" s="13" t="s">
        <v>59</v>
      </c>
      <c r="E112" t="s">
        <v>47</v>
      </c>
      <c r="F112" t="s">
        <v>48</v>
      </c>
      <c r="G112" s="9">
        <v>54120000</v>
      </c>
      <c r="H112" s="9">
        <v>0</v>
      </c>
      <c r="I112" s="11">
        <v>0</v>
      </c>
      <c r="J112" t="s">
        <v>49</v>
      </c>
      <c r="K112" s="13" t="s">
        <v>259</v>
      </c>
      <c r="L112" s="15" t="s">
        <v>260</v>
      </c>
    </row>
    <row r="113" spans="1:12" ht="27">
      <c r="A113" s="4" t="s">
        <v>261</v>
      </c>
      <c r="B113" t="s">
        <v>44</v>
      </c>
      <c r="C113" t="s">
        <v>45</v>
      </c>
      <c r="D113" s="13" t="s">
        <v>55</v>
      </c>
      <c r="E113" t="s">
        <v>47</v>
      </c>
      <c r="F113" t="s">
        <v>48</v>
      </c>
      <c r="G113" s="9">
        <v>108240000</v>
      </c>
      <c r="H113" s="9">
        <v>0</v>
      </c>
      <c r="I113" s="11">
        <v>0</v>
      </c>
      <c r="J113" t="s">
        <v>49</v>
      </c>
      <c r="K113" s="13" t="s">
        <v>259</v>
      </c>
      <c r="L113" s="15" t="s">
        <v>260</v>
      </c>
    </row>
    <row r="114" spans="1:12" ht="40.5">
      <c r="A114" s="4" t="s">
        <v>262</v>
      </c>
      <c r="B114" t="s">
        <v>44</v>
      </c>
      <c r="C114" t="s">
        <v>45</v>
      </c>
      <c r="D114" s="13" t="s">
        <v>263</v>
      </c>
      <c r="E114" t="s">
        <v>47</v>
      </c>
      <c r="F114" t="s">
        <v>48</v>
      </c>
      <c r="G114" s="9">
        <v>5396000</v>
      </c>
      <c r="H114" s="9">
        <v>0</v>
      </c>
      <c r="I114" s="11">
        <v>0</v>
      </c>
      <c r="J114" t="s">
        <v>49</v>
      </c>
      <c r="K114" s="13" t="s">
        <v>264</v>
      </c>
      <c r="L114" s="15" t="s">
        <v>265</v>
      </c>
    </row>
    <row r="115" spans="1:12" ht="40.5">
      <c r="A115" s="4" t="s">
        <v>269</v>
      </c>
      <c r="B115" t="s">
        <v>44</v>
      </c>
      <c r="C115" t="s">
        <v>45</v>
      </c>
      <c r="D115" s="13" t="s">
        <v>270</v>
      </c>
      <c r="E115" t="s">
        <v>47</v>
      </c>
      <c r="F115" t="s">
        <v>48</v>
      </c>
      <c r="G115" s="9">
        <v>12000000</v>
      </c>
      <c r="H115" s="9">
        <v>0</v>
      </c>
      <c r="I115" s="11">
        <v>0</v>
      </c>
      <c r="J115" t="s">
        <v>49</v>
      </c>
      <c r="K115" s="13" t="s">
        <v>271</v>
      </c>
      <c r="L115" s="15" t="s">
        <v>265</v>
      </c>
    </row>
    <row r="116" spans="1:12" ht="40.5">
      <c r="A116" s="4" t="s">
        <v>272</v>
      </c>
      <c r="B116" t="s">
        <v>44</v>
      </c>
      <c r="C116" t="s">
        <v>45</v>
      </c>
      <c r="D116" s="13" t="s">
        <v>273</v>
      </c>
      <c r="E116" t="s">
        <v>47</v>
      </c>
      <c r="F116" t="s">
        <v>48</v>
      </c>
      <c r="G116" s="9">
        <v>12000000</v>
      </c>
      <c r="H116" s="9">
        <v>0</v>
      </c>
      <c r="I116" s="11">
        <v>0</v>
      </c>
      <c r="J116" t="s">
        <v>49</v>
      </c>
      <c r="K116" s="13" t="s">
        <v>274</v>
      </c>
      <c r="L116" s="15" t="s">
        <v>265</v>
      </c>
    </row>
    <row r="117" spans="1:12" ht="40.5">
      <c r="A117" s="4" t="s">
        <v>275</v>
      </c>
      <c r="B117" t="s">
        <v>44</v>
      </c>
      <c r="C117" t="s">
        <v>45</v>
      </c>
      <c r="D117" s="13" t="s">
        <v>276</v>
      </c>
      <c r="E117" t="s">
        <v>47</v>
      </c>
      <c r="F117" t="s">
        <v>48</v>
      </c>
      <c r="G117" s="9">
        <v>11250000</v>
      </c>
      <c r="H117" s="9">
        <v>0</v>
      </c>
      <c r="I117" s="11">
        <v>0</v>
      </c>
      <c r="J117" t="s">
        <v>49</v>
      </c>
      <c r="K117" s="13" t="s">
        <v>277</v>
      </c>
      <c r="L117" s="15" t="s">
        <v>265</v>
      </c>
    </row>
    <row r="118" spans="1:12" ht="40.5">
      <c r="A118" s="4" t="s">
        <v>278</v>
      </c>
      <c r="B118" t="s">
        <v>44</v>
      </c>
      <c r="C118" t="s">
        <v>45</v>
      </c>
      <c r="D118" s="13" t="s">
        <v>279</v>
      </c>
      <c r="E118" t="s">
        <v>47</v>
      </c>
      <c r="F118" t="s">
        <v>48</v>
      </c>
      <c r="G118" s="9">
        <v>4500000</v>
      </c>
      <c r="H118" s="9">
        <v>0</v>
      </c>
      <c r="I118" s="11">
        <v>0</v>
      </c>
      <c r="J118" t="s">
        <v>49</v>
      </c>
      <c r="K118" s="13" t="s">
        <v>280</v>
      </c>
      <c r="L118" s="15" t="s">
        <v>265</v>
      </c>
    </row>
    <row r="119" spans="1:12" ht="40.5">
      <c r="A119" s="4" t="s">
        <v>281</v>
      </c>
      <c r="B119" t="s">
        <v>44</v>
      </c>
      <c r="C119" t="s">
        <v>45</v>
      </c>
      <c r="D119" s="13" t="s">
        <v>282</v>
      </c>
      <c r="E119" t="s">
        <v>47</v>
      </c>
      <c r="F119" t="s">
        <v>48</v>
      </c>
      <c r="G119" s="9">
        <v>4500000</v>
      </c>
      <c r="H119" s="9">
        <v>0</v>
      </c>
      <c r="I119" s="11">
        <v>0</v>
      </c>
      <c r="J119" t="s">
        <v>49</v>
      </c>
      <c r="K119" s="13" t="s">
        <v>280</v>
      </c>
      <c r="L119" s="15" t="s">
        <v>265</v>
      </c>
    </row>
    <row r="120" spans="1:12" ht="40.5">
      <c r="A120" s="4" t="s">
        <v>283</v>
      </c>
      <c r="B120" t="s">
        <v>44</v>
      </c>
      <c r="C120" t="s">
        <v>45</v>
      </c>
      <c r="D120" s="13" t="s">
        <v>284</v>
      </c>
      <c r="E120" t="s">
        <v>47</v>
      </c>
      <c r="F120" t="s">
        <v>48</v>
      </c>
      <c r="G120" s="9">
        <v>4500000</v>
      </c>
      <c r="H120" s="9">
        <v>0</v>
      </c>
      <c r="I120" s="11">
        <v>0</v>
      </c>
      <c r="J120" t="s">
        <v>49</v>
      </c>
      <c r="K120" s="13" t="s">
        <v>280</v>
      </c>
      <c r="L120" s="15" t="s">
        <v>265</v>
      </c>
    </row>
    <row r="121" spans="1:12" ht="40.5">
      <c r="A121" s="4" t="s">
        <v>285</v>
      </c>
      <c r="B121" t="s">
        <v>44</v>
      </c>
      <c r="C121" t="s">
        <v>45</v>
      </c>
      <c r="D121" s="13" t="s">
        <v>286</v>
      </c>
      <c r="E121" t="s">
        <v>47</v>
      </c>
      <c r="F121" t="s">
        <v>48</v>
      </c>
      <c r="G121" s="9">
        <v>2000000</v>
      </c>
      <c r="H121" s="9">
        <v>0</v>
      </c>
      <c r="I121" s="11">
        <v>0</v>
      </c>
      <c r="J121" t="s">
        <v>49</v>
      </c>
      <c r="K121" s="13" t="s">
        <v>287</v>
      </c>
      <c r="L121" s="15" t="s">
        <v>265</v>
      </c>
    </row>
    <row r="122" spans="1:12" ht="40.5">
      <c r="A122" s="4" t="s">
        <v>288</v>
      </c>
      <c r="B122" t="s">
        <v>44</v>
      </c>
      <c r="C122" t="s">
        <v>45</v>
      </c>
      <c r="D122" s="13" t="s">
        <v>289</v>
      </c>
      <c r="E122" t="s">
        <v>47</v>
      </c>
      <c r="F122" t="s">
        <v>48</v>
      </c>
      <c r="G122" s="9">
        <v>74000000</v>
      </c>
      <c r="H122" s="9">
        <v>0</v>
      </c>
      <c r="I122" s="11">
        <v>0</v>
      </c>
      <c r="J122" t="s">
        <v>49</v>
      </c>
      <c r="K122" s="13" t="s">
        <v>290</v>
      </c>
      <c r="L122" s="15" t="s">
        <v>291</v>
      </c>
    </row>
    <row r="123" spans="1:12" ht="40.5">
      <c r="A123" s="4" t="s">
        <v>293</v>
      </c>
      <c r="B123" t="s">
        <v>44</v>
      </c>
      <c r="C123" t="s">
        <v>45</v>
      </c>
      <c r="D123" s="13" t="s">
        <v>294</v>
      </c>
      <c r="E123" t="s">
        <v>47</v>
      </c>
      <c r="F123" t="s">
        <v>48</v>
      </c>
      <c r="G123" s="9">
        <v>3500000</v>
      </c>
      <c r="H123" s="9">
        <v>0</v>
      </c>
      <c r="I123" s="11">
        <v>0</v>
      </c>
      <c r="J123" t="s">
        <v>49</v>
      </c>
      <c r="K123" s="13" t="s">
        <v>295</v>
      </c>
      <c r="L123" s="15" t="s">
        <v>291</v>
      </c>
    </row>
    <row r="124" spans="1:12" ht="40.5">
      <c r="A124" s="4" t="s">
        <v>296</v>
      </c>
      <c r="B124" t="s">
        <v>44</v>
      </c>
      <c r="C124" t="s">
        <v>45</v>
      </c>
      <c r="D124" s="13" t="s">
        <v>297</v>
      </c>
      <c r="E124" t="s">
        <v>47</v>
      </c>
      <c r="F124" t="s">
        <v>48</v>
      </c>
      <c r="G124" s="9">
        <v>190000</v>
      </c>
      <c r="H124" s="9">
        <v>0</v>
      </c>
      <c r="I124" s="11">
        <v>0</v>
      </c>
      <c r="J124" t="s">
        <v>49</v>
      </c>
      <c r="K124" s="13" t="s">
        <v>298</v>
      </c>
      <c r="L124" s="15" t="s">
        <v>291</v>
      </c>
    </row>
    <row r="125" spans="1:12" ht="40.5">
      <c r="A125" s="4" t="s">
        <v>299</v>
      </c>
      <c r="B125" t="s">
        <v>44</v>
      </c>
      <c r="C125" t="s">
        <v>45</v>
      </c>
      <c r="D125" s="13" t="s">
        <v>300</v>
      </c>
      <c r="E125" t="s">
        <v>47</v>
      </c>
      <c r="F125" t="s">
        <v>48</v>
      </c>
      <c r="G125" s="9">
        <v>50000000</v>
      </c>
      <c r="H125" s="9">
        <v>0</v>
      </c>
      <c r="I125" s="11">
        <v>0</v>
      </c>
      <c r="J125" t="s">
        <v>49</v>
      </c>
      <c r="K125" s="13" t="s">
        <v>301</v>
      </c>
      <c r="L125" s="15" t="s">
        <v>291</v>
      </c>
    </row>
    <row r="126" spans="1:12" ht="40.5">
      <c r="A126" s="4" t="s">
        <v>302</v>
      </c>
      <c r="B126" t="s">
        <v>44</v>
      </c>
      <c r="C126" t="s">
        <v>45</v>
      </c>
      <c r="D126" s="13" t="s">
        <v>303</v>
      </c>
      <c r="E126" t="s">
        <v>47</v>
      </c>
      <c r="F126" t="s">
        <v>48</v>
      </c>
      <c r="G126" s="9">
        <v>56500000</v>
      </c>
      <c r="H126" s="9">
        <v>0</v>
      </c>
      <c r="I126" s="11">
        <v>0</v>
      </c>
      <c r="J126" t="s">
        <v>49</v>
      </c>
      <c r="K126" s="13" t="s">
        <v>304</v>
      </c>
      <c r="L126" s="15" t="s">
        <v>291</v>
      </c>
    </row>
    <row r="127" spans="1:12" ht="40.5">
      <c r="A127" s="4" t="s">
        <v>305</v>
      </c>
      <c r="B127" t="s">
        <v>44</v>
      </c>
      <c r="C127" t="s">
        <v>45</v>
      </c>
      <c r="D127" s="13" t="s">
        <v>306</v>
      </c>
      <c r="E127" t="s">
        <v>47</v>
      </c>
      <c r="F127" t="s">
        <v>48</v>
      </c>
      <c r="G127" s="9">
        <v>2000000</v>
      </c>
      <c r="H127" s="9">
        <v>0</v>
      </c>
      <c r="I127" s="11">
        <v>0</v>
      </c>
      <c r="J127" t="s">
        <v>49</v>
      </c>
      <c r="K127" s="13" t="s">
        <v>307</v>
      </c>
      <c r="L127" s="15" t="s">
        <v>291</v>
      </c>
    </row>
    <row r="128" spans="1:12" ht="40.5">
      <c r="A128" s="4" t="s">
        <v>308</v>
      </c>
      <c r="B128" t="s">
        <v>44</v>
      </c>
      <c r="C128" t="s">
        <v>45</v>
      </c>
      <c r="D128" s="13" t="s">
        <v>309</v>
      </c>
      <c r="E128" t="s">
        <v>47</v>
      </c>
      <c r="F128" t="s">
        <v>48</v>
      </c>
      <c r="G128" s="9">
        <v>2000000</v>
      </c>
      <c r="H128" s="9">
        <v>0</v>
      </c>
      <c r="I128" s="11">
        <v>0</v>
      </c>
      <c r="J128" t="s">
        <v>49</v>
      </c>
      <c r="K128" s="13" t="s">
        <v>307</v>
      </c>
      <c r="L128" s="15" t="s">
        <v>291</v>
      </c>
    </row>
    <row r="129" spans="1:12" ht="40.5">
      <c r="A129" s="4" t="s">
        <v>310</v>
      </c>
      <c r="B129" t="s">
        <v>44</v>
      </c>
      <c r="C129" t="s">
        <v>45</v>
      </c>
      <c r="D129" s="13" t="s">
        <v>311</v>
      </c>
      <c r="E129" t="s">
        <v>47</v>
      </c>
      <c r="F129" t="s">
        <v>48</v>
      </c>
      <c r="G129" s="9">
        <v>1000000</v>
      </c>
      <c r="H129" s="9">
        <v>0</v>
      </c>
      <c r="I129" s="11">
        <v>0</v>
      </c>
      <c r="J129" t="s">
        <v>49</v>
      </c>
      <c r="K129" s="13" t="s">
        <v>312</v>
      </c>
      <c r="L129" s="15" t="s">
        <v>291</v>
      </c>
    </row>
    <row r="130" spans="1:12" ht="40.5">
      <c r="A130" s="4" t="s">
        <v>313</v>
      </c>
      <c r="B130" t="s">
        <v>44</v>
      </c>
      <c r="C130" t="s">
        <v>45</v>
      </c>
      <c r="D130" s="13" t="s">
        <v>314</v>
      </c>
      <c r="E130" t="s">
        <v>47</v>
      </c>
      <c r="F130" t="s">
        <v>48</v>
      </c>
      <c r="G130" s="9">
        <v>4500000</v>
      </c>
      <c r="H130" s="9">
        <v>0</v>
      </c>
      <c r="I130" s="11">
        <v>0</v>
      </c>
      <c r="J130" t="s">
        <v>49</v>
      </c>
      <c r="K130" s="13" t="s">
        <v>315</v>
      </c>
      <c r="L130" s="15" t="s">
        <v>291</v>
      </c>
    </row>
    <row r="131" spans="1:12" ht="40.5">
      <c r="A131" s="4" t="s">
        <v>316</v>
      </c>
      <c r="B131" t="s">
        <v>44</v>
      </c>
      <c r="C131" t="s">
        <v>45</v>
      </c>
      <c r="D131" s="13" t="s">
        <v>317</v>
      </c>
      <c r="E131" t="s">
        <v>47</v>
      </c>
      <c r="F131" t="s">
        <v>48</v>
      </c>
      <c r="G131" s="9">
        <v>1980000</v>
      </c>
      <c r="H131" s="9">
        <v>0</v>
      </c>
      <c r="I131" s="11">
        <v>0</v>
      </c>
      <c r="J131" t="s">
        <v>49</v>
      </c>
      <c r="K131" s="13" t="s">
        <v>318</v>
      </c>
      <c r="L131" s="15" t="s">
        <v>291</v>
      </c>
    </row>
    <row r="132" spans="1:12" ht="40.5">
      <c r="A132" s="4" t="s">
        <v>319</v>
      </c>
      <c r="B132" t="s">
        <v>44</v>
      </c>
      <c r="C132" t="s">
        <v>45</v>
      </c>
      <c r="D132" s="13" t="s">
        <v>181</v>
      </c>
      <c r="E132" t="s">
        <v>47</v>
      </c>
      <c r="F132" t="s">
        <v>48</v>
      </c>
      <c r="G132" s="9">
        <v>4480000</v>
      </c>
      <c r="H132" s="9">
        <v>0</v>
      </c>
      <c r="I132" s="11">
        <v>0</v>
      </c>
      <c r="J132" t="s">
        <v>49</v>
      </c>
      <c r="K132" s="13" t="s">
        <v>320</v>
      </c>
      <c r="L132" s="15" t="s">
        <v>291</v>
      </c>
    </row>
    <row r="133" spans="1:12" ht="27">
      <c r="A133" s="4" t="s">
        <v>321</v>
      </c>
      <c r="B133" t="s">
        <v>44</v>
      </c>
      <c r="C133" t="s">
        <v>45</v>
      </c>
      <c r="D133" s="13" t="s">
        <v>322</v>
      </c>
      <c r="E133" t="s">
        <v>47</v>
      </c>
      <c r="F133" t="s">
        <v>48</v>
      </c>
      <c r="G133" s="9">
        <v>5120000</v>
      </c>
      <c r="H133" s="9">
        <v>0</v>
      </c>
      <c r="I133" s="11">
        <v>0</v>
      </c>
      <c r="J133" t="s">
        <v>49</v>
      </c>
      <c r="K133" s="13" t="s">
        <v>323</v>
      </c>
      <c r="L133" s="15" t="s">
        <v>260</v>
      </c>
    </row>
    <row r="134" spans="1:12" ht="27">
      <c r="A134" s="4" t="s">
        <v>324</v>
      </c>
      <c r="B134" t="s">
        <v>44</v>
      </c>
      <c r="C134" t="s">
        <v>45</v>
      </c>
      <c r="D134" s="13" t="s">
        <v>325</v>
      </c>
      <c r="E134" t="s">
        <v>47</v>
      </c>
      <c r="F134" t="s">
        <v>48</v>
      </c>
      <c r="G134" s="9">
        <v>147440000</v>
      </c>
      <c r="H134" s="9">
        <v>0</v>
      </c>
      <c r="I134" s="11">
        <v>0</v>
      </c>
      <c r="J134" t="s">
        <v>49</v>
      </c>
      <c r="K134" s="13" t="s">
        <v>326</v>
      </c>
      <c r="L134" s="15" t="s">
        <v>260</v>
      </c>
    </row>
    <row r="135" spans="1:12" ht="40.5">
      <c r="A135" s="4" t="s">
        <v>334</v>
      </c>
      <c r="B135" t="s">
        <v>44</v>
      </c>
      <c r="C135" t="s">
        <v>45</v>
      </c>
      <c r="D135" s="13" t="s">
        <v>335</v>
      </c>
      <c r="E135" t="s">
        <v>47</v>
      </c>
      <c r="F135" t="s">
        <v>48</v>
      </c>
      <c r="G135" s="9">
        <v>20800000</v>
      </c>
      <c r="H135" s="9">
        <v>0</v>
      </c>
      <c r="I135" s="11">
        <v>0</v>
      </c>
      <c r="J135" t="s">
        <v>49</v>
      </c>
      <c r="K135" s="13" t="s">
        <v>336</v>
      </c>
      <c r="L135" s="15" t="s">
        <v>260</v>
      </c>
    </row>
    <row r="136" spans="1:12" ht="40.5">
      <c r="A136" s="4" t="s">
        <v>338</v>
      </c>
      <c r="B136" t="s">
        <v>44</v>
      </c>
      <c r="C136" t="s">
        <v>45</v>
      </c>
      <c r="D136" s="13" t="s">
        <v>339</v>
      </c>
      <c r="E136" t="s">
        <v>47</v>
      </c>
      <c r="F136" t="s">
        <v>48</v>
      </c>
      <c r="G136" s="9">
        <v>164493000</v>
      </c>
      <c r="H136" s="9">
        <v>0</v>
      </c>
      <c r="I136" s="11">
        <v>0</v>
      </c>
      <c r="J136" t="s">
        <v>49</v>
      </c>
      <c r="K136" s="13" t="s">
        <v>340</v>
      </c>
      <c r="L136" s="15" t="s">
        <v>63</v>
      </c>
    </row>
    <row r="137" spans="1:12" ht="40.5">
      <c r="A137" s="4" t="s">
        <v>342</v>
      </c>
      <c r="B137" t="s">
        <v>44</v>
      </c>
      <c r="C137" t="s">
        <v>45</v>
      </c>
      <c r="D137" s="13" t="s">
        <v>343</v>
      </c>
      <c r="E137" t="s">
        <v>47</v>
      </c>
      <c r="F137" t="s">
        <v>48</v>
      </c>
      <c r="G137" s="9">
        <v>33920000</v>
      </c>
      <c r="H137" s="9">
        <v>0</v>
      </c>
      <c r="I137" s="11">
        <v>0</v>
      </c>
      <c r="J137" t="s">
        <v>49</v>
      </c>
      <c r="K137" s="13" t="s">
        <v>344</v>
      </c>
      <c r="L137" s="15" t="s">
        <v>345</v>
      </c>
    </row>
    <row r="138" spans="1:12" ht="40.5">
      <c r="A138" s="4" t="s">
        <v>347</v>
      </c>
      <c r="B138" t="s">
        <v>44</v>
      </c>
      <c r="C138" t="s">
        <v>45</v>
      </c>
      <c r="D138" s="13" t="s">
        <v>348</v>
      </c>
      <c r="E138" t="s">
        <v>47</v>
      </c>
      <c r="F138" t="s">
        <v>48</v>
      </c>
      <c r="G138" s="9">
        <v>61000000</v>
      </c>
      <c r="H138" s="9">
        <v>0</v>
      </c>
      <c r="I138" s="11">
        <v>0</v>
      </c>
      <c r="J138" t="s">
        <v>49</v>
      </c>
      <c r="K138" s="13" t="s">
        <v>349</v>
      </c>
      <c r="L138" s="15" t="s">
        <v>350</v>
      </c>
    </row>
    <row r="139" spans="1:12" ht="40.5">
      <c r="A139" s="4" t="s">
        <v>352</v>
      </c>
      <c r="B139" t="s">
        <v>44</v>
      </c>
      <c r="C139" t="s">
        <v>45</v>
      </c>
      <c r="D139" s="13" t="s">
        <v>353</v>
      </c>
      <c r="E139" t="s">
        <v>47</v>
      </c>
      <c r="F139" t="s">
        <v>48</v>
      </c>
      <c r="G139" s="9">
        <v>108000000</v>
      </c>
      <c r="H139" s="9">
        <v>0</v>
      </c>
      <c r="I139" s="11">
        <v>0</v>
      </c>
      <c r="J139" t="s">
        <v>49</v>
      </c>
      <c r="K139" s="13" t="s">
        <v>354</v>
      </c>
      <c r="L139" s="15" t="s">
        <v>350</v>
      </c>
    </row>
    <row r="140" spans="1:12" ht="27">
      <c r="A140" s="4" t="s">
        <v>355</v>
      </c>
      <c r="B140" t="s">
        <v>44</v>
      </c>
      <c r="C140" t="s">
        <v>45</v>
      </c>
      <c r="D140" s="13" t="s">
        <v>356</v>
      </c>
      <c r="E140" t="s">
        <v>47</v>
      </c>
      <c r="F140" t="s">
        <v>48</v>
      </c>
      <c r="G140" s="9">
        <v>65000000</v>
      </c>
      <c r="H140" s="9">
        <v>0</v>
      </c>
      <c r="I140" s="11">
        <v>0</v>
      </c>
      <c r="J140" t="s">
        <v>49</v>
      </c>
      <c r="K140" s="13" t="s">
        <v>357</v>
      </c>
      <c r="L140" s="15" t="s">
        <v>350</v>
      </c>
    </row>
    <row r="141" spans="1:12" ht="27">
      <c r="A141" s="4" t="s">
        <v>358</v>
      </c>
      <c r="B141" t="s">
        <v>44</v>
      </c>
      <c r="C141" t="s">
        <v>45</v>
      </c>
      <c r="D141" s="13" t="s">
        <v>359</v>
      </c>
      <c r="E141" t="s">
        <v>47</v>
      </c>
      <c r="F141" t="s">
        <v>48</v>
      </c>
      <c r="G141" s="9">
        <v>96552000</v>
      </c>
      <c r="H141" s="9">
        <v>0</v>
      </c>
      <c r="I141" s="11">
        <v>0</v>
      </c>
      <c r="J141" t="s">
        <v>49</v>
      </c>
      <c r="K141" s="13" t="s">
        <v>360</v>
      </c>
      <c r="L141" s="15" t="s">
        <v>350</v>
      </c>
    </row>
    <row r="142" spans="1:12" ht="27">
      <c r="A142" s="4" t="s">
        <v>361</v>
      </c>
      <c r="B142" t="s">
        <v>44</v>
      </c>
      <c r="C142" t="s">
        <v>45</v>
      </c>
      <c r="D142" s="13" t="s">
        <v>362</v>
      </c>
      <c r="E142" t="s">
        <v>47</v>
      </c>
      <c r="F142" t="s">
        <v>48</v>
      </c>
      <c r="G142" s="9">
        <v>62843000</v>
      </c>
      <c r="H142" s="9">
        <v>0</v>
      </c>
      <c r="I142" s="11">
        <v>0</v>
      </c>
      <c r="J142" t="s">
        <v>49</v>
      </c>
      <c r="K142" s="13" t="s">
        <v>363</v>
      </c>
      <c r="L142" s="15" t="s">
        <v>350</v>
      </c>
    </row>
    <row r="143" spans="1:12" ht="27">
      <c r="A143" s="4" t="s">
        <v>364</v>
      </c>
      <c r="B143" t="s">
        <v>44</v>
      </c>
      <c r="C143" t="s">
        <v>45</v>
      </c>
      <c r="D143" s="13" t="s">
        <v>365</v>
      </c>
      <c r="E143" t="s">
        <v>366</v>
      </c>
      <c r="F143" t="s">
        <v>48</v>
      </c>
      <c r="G143" s="9">
        <v>312000000</v>
      </c>
      <c r="H143" s="9">
        <v>0</v>
      </c>
      <c r="I143" s="11">
        <v>0</v>
      </c>
      <c r="J143" t="s">
        <v>49</v>
      </c>
      <c r="K143" s="13" t="s">
        <v>367</v>
      </c>
      <c r="L143" s="15" t="s">
        <v>368</v>
      </c>
    </row>
    <row r="144" spans="1:12" ht="27">
      <c r="A144" s="4" t="s">
        <v>369</v>
      </c>
      <c r="B144" t="s">
        <v>44</v>
      </c>
      <c r="C144" t="s">
        <v>45</v>
      </c>
      <c r="D144" s="13" t="s">
        <v>370</v>
      </c>
      <c r="E144" t="s">
        <v>366</v>
      </c>
      <c r="F144" t="s">
        <v>48</v>
      </c>
      <c r="G144" s="9">
        <v>312000000</v>
      </c>
      <c r="H144" s="9">
        <v>0</v>
      </c>
      <c r="I144" s="11">
        <v>0</v>
      </c>
      <c r="J144" t="s">
        <v>49</v>
      </c>
      <c r="K144" s="13" t="s">
        <v>371</v>
      </c>
      <c r="L144" s="15" t="s">
        <v>260</v>
      </c>
    </row>
    <row r="145" spans="1:12" ht="27">
      <c r="A145" s="4" t="s">
        <v>372</v>
      </c>
      <c r="B145" t="s">
        <v>44</v>
      </c>
      <c r="C145" t="s">
        <v>45</v>
      </c>
      <c r="D145" s="13" t="s">
        <v>373</v>
      </c>
      <c r="E145" t="s">
        <v>366</v>
      </c>
      <c r="F145" t="s">
        <v>48</v>
      </c>
      <c r="G145" s="9">
        <v>18000000</v>
      </c>
      <c r="H145" s="9">
        <v>0</v>
      </c>
      <c r="I145" s="11">
        <v>0</v>
      </c>
      <c r="J145" t="s">
        <v>49</v>
      </c>
      <c r="K145" s="13" t="s">
        <v>374</v>
      </c>
      <c r="L145" s="15" t="s">
        <v>260</v>
      </c>
    </row>
    <row r="146" spans="1:12" ht="27">
      <c r="A146" s="4" t="s">
        <v>375</v>
      </c>
      <c r="B146" t="s">
        <v>44</v>
      </c>
      <c r="C146" t="s">
        <v>45</v>
      </c>
      <c r="D146" s="13" t="s">
        <v>376</v>
      </c>
      <c r="E146" t="s">
        <v>47</v>
      </c>
      <c r="F146" t="s">
        <v>48</v>
      </c>
      <c r="G146" s="9">
        <v>71000000</v>
      </c>
      <c r="H146" s="9">
        <v>0</v>
      </c>
      <c r="I146" s="11">
        <v>0</v>
      </c>
      <c r="J146" t="s">
        <v>49</v>
      </c>
      <c r="K146" s="13" t="s">
        <v>377</v>
      </c>
      <c r="L146" s="15" t="s">
        <v>260</v>
      </c>
    </row>
    <row r="147" spans="1:12" ht="27">
      <c r="A147" s="4" t="s">
        <v>379</v>
      </c>
      <c r="B147" t="s">
        <v>44</v>
      </c>
      <c r="C147" t="s">
        <v>45</v>
      </c>
      <c r="D147" s="13" t="s">
        <v>380</v>
      </c>
      <c r="E147" t="s">
        <v>47</v>
      </c>
      <c r="F147" t="s">
        <v>48</v>
      </c>
      <c r="G147" s="9">
        <v>169000000</v>
      </c>
      <c r="H147" s="9">
        <v>0</v>
      </c>
      <c r="I147" s="11">
        <v>0</v>
      </c>
      <c r="J147" t="s">
        <v>49</v>
      </c>
      <c r="K147" s="13" t="s">
        <v>381</v>
      </c>
      <c r="L147" s="15" t="s">
        <v>260</v>
      </c>
    </row>
    <row r="148" spans="1:12" ht="27">
      <c r="A148" s="4" t="s">
        <v>383</v>
      </c>
      <c r="B148" t="s">
        <v>44</v>
      </c>
      <c r="C148" t="s">
        <v>45</v>
      </c>
      <c r="D148" s="13" t="s">
        <v>384</v>
      </c>
      <c r="E148" t="s">
        <v>47</v>
      </c>
      <c r="F148" t="s">
        <v>48</v>
      </c>
      <c r="G148" s="9">
        <v>133500000</v>
      </c>
      <c r="H148" s="9">
        <v>0</v>
      </c>
      <c r="I148" s="11">
        <v>0</v>
      </c>
      <c r="J148" t="s">
        <v>49</v>
      </c>
      <c r="K148" s="13" t="s">
        <v>385</v>
      </c>
      <c r="L148" s="15" t="s">
        <v>260</v>
      </c>
    </row>
    <row r="149" spans="1:12" ht="27">
      <c r="A149" s="4" t="s">
        <v>392</v>
      </c>
      <c r="B149" t="s">
        <v>44</v>
      </c>
      <c r="C149" t="s">
        <v>45</v>
      </c>
      <c r="D149" s="13" t="s">
        <v>83</v>
      </c>
      <c r="E149" t="s">
        <v>47</v>
      </c>
      <c r="F149" t="s">
        <v>48</v>
      </c>
      <c r="G149" s="9">
        <v>153000000</v>
      </c>
      <c r="H149" s="9">
        <v>0</v>
      </c>
      <c r="I149" s="11">
        <v>0</v>
      </c>
      <c r="J149" t="s">
        <v>49</v>
      </c>
      <c r="K149" s="13" t="s">
        <v>393</v>
      </c>
      <c r="L149" s="15" t="s">
        <v>350</v>
      </c>
    </row>
    <row r="150" spans="1:12" ht="40.5">
      <c r="A150" s="4" t="s">
        <v>394</v>
      </c>
      <c r="B150" t="s">
        <v>44</v>
      </c>
      <c r="C150" t="s">
        <v>45</v>
      </c>
      <c r="D150" s="13" t="s">
        <v>69</v>
      </c>
      <c r="E150" t="s">
        <v>47</v>
      </c>
      <c r="F150" t="s">
        <v>48</v>
      </c>
      <c r="G150" s="9">
        <v>131400000</v>
      </c>
      <c r="H150" s="9">
        <v>0</v>
      </c>
      <c r="I150" s="11">
        <v>0</v>
      </c>
      <c r="J150" t="s">
        <v>49</v>
      </c>
      <c r="K150" s="13" t="s">
        <v>395</v>
      </c>
      <c r="L150" s="15" t="s">
        <v>396</v>
      </c>
    </row>
    <row r="151" spans="1:12" ht="27">
      <c r="A151" s="4" t="s">
        <v>397</v>
      </c>
      <c r="B151" t="s">
        <v>44</v>
      </c>
      <c r="C151" t="s">
        <v>45</v>
      </c>
      <c r="D151" s="13" t="s">
        <v>72</v>
      </c>
      <c r="E151" t="s">
        <v>47</v>
      </c>
      <c r="F151" t="s">
        <v>48</v>
      </c>
      <c r="G151" s="9">
        <v>58400000</v>
      </c>
      <c r="H151" s="9">
        <v>0</v>
      </c>
      <c r="I151" s="11">
        <v>0</v>
      </c>
      <c r="J151" t="s">
        <v>49</v>
      </c>
      <c r="K151" s="13" t="s">
        <v>398</v>
      </c>
      <c r="L151" s="15" t="s">
        <v>350</v>
      </c>
    </row>
    <row r="152" spans="1:12" ht="27">
      <c r="A152" s="4" t="s">
        <v>399</v>
      </c>
      <c r="B152" t="s">
        <v>44</v>
      </c>
      <c r="C152" t="s">
        <v>45</v>
      </c>
      <c r="D152" s="13" t="s">
        <v>67</v>
      </c>
      <c r="E152" t="s">
        <v>47</v>
      </c>
      <c r="F152" t="s">
        <v>48</v>
      </c>
      <c r="G152" s="9">
        <v>102200000</v>
      </c>
      <c r="H152" s="9">
        <v>0</v>
      </c>
      <c r="I152" s="11">
        <v>0</v>
      </c>
      <c r="J152" t="s">
        <v>49</v>
      </c>
      <c r="K152" s="13" t="s">
        <v>400</v>
      </c>
      <c r="L152" s="15" t="s">
        <v>350</v>
      </c>
    </row>
    <row r="153" spans="1:12" ht="27">
      <c r="A153" s="4" t="s">
        <v>401</v>
      </c>
      <c r="B153" t="s">
        <v>44</v>
      </c>
      <c r="C153" t="s">
        <v>45</v>
      </c>
      <c r="D153" s="13" t="s">
        <v>83</v>
      </c>
      <c r="E153" t="s">
        <v>47</v>
      </c>
      <c r="F153" t="s">
        <v>84</v>
      </c>
      <c r="G153" s="9">
        <v>438000000</v>
      </c>
      <c r="H153" s="9">
        <v>50116529</v>
      </c>
      <c r="I153" s="11">
        <v>11</v>
      </c>
      <c r="J153" t="s">
        <v>49</v>
      </c>
      <c r="K153" s="13" t="s">
        <v>402</v>
      </c>
      <c r="L153" s="15" t="s">
        <v>260</v>
      </c>
    </row>
    <row r="154" spans="1:12" ht="27">
      <c r="A154" s="4" t="s">
        <v>404</v>
      </c>
      <c r="B154" t="s">
        <v>44</v>
      </c>
      <c r="C154" t="s">
        <v>45</v>
      </c>
      <c r="D154" s="13" t="s">
        <v>80</v>
      </c>
      <c r="E154" t="s">
        <v>47</v>
      </c>
      <c r="F154" t="s">
        <v>48</v>
      </c>
      <c r="G154" s="9">
        <v>160000</v>
      </c>
      <c r="H154" s="9">
        <v>0</v>
      </c>
      <c r="I154" s="11">
        <v>0</v>
      </c>
      <c r="J154" t="s">
        <v>49</v>
      </c>
      <c r="K154" s="13" t="s">
        <v>405</v>
      </c>
      <c r="L154" s="15" t="s">
        <v>260</v>
      </c>
    </row>
    <row r="155" spans="1:12" ht="27">
      <c r="A155" s="4" t="s">
        <v>406</v>
      </c>
      <c r="B155" t="s">
        <v>44</v>
      </c>
      <c r="C155" t="s">
        <v>45</v>
      </c>
      <c r="D155" s="13" t="s">
        <v>407</v>
      </c>
      <c r="E155" t="s">
        <v>47</v>
      </c>
      <c r="F155" t="s">
        <v>48</v>
      </c>
      <c r="G155" s="9">
        <v>1000000</v>
      </c>
      <c r="H155" s="9">
        <v>0</v>
      </c>
      <c r="I155" s="11">
        <v>0</v>
      </c>
      <c r="J155" t="s">
        <v>49</v>
      </c>
      <c r="K155" s="13" t="s">
        <v>408</v>
      </c>
      <c r="L155" s="15" t="s">
        <v>260</v>
      </c>
    </row>
    <row r="156" spans="1:12" ht="27">
      <c r="A156" s="4" t="s">
        <v>409</v>
      </c>
      <c r="B156" t="s">
        <v>44</v>
      </c>
      <c r="C156" t="s">
        <v>45</v>
      </c>
      <c r="D156" s="13" t="s">
        <v>72</v>
      </c>
      <c r="E156" t="s">
        <v>47</v>
      </c>
      <c r="F156" t="s">
        <v>48</v>
      </c>
      <c r="G156" s="9">
        <v>1900000</v>
      </c>
      <c r="H156" s="9">
        <v>0</v>
      </c>
      <c r="I156" s="11">
        <v>0</v>
      </c>
      <c r="J156" t="s">
        <v>49</v>
      </c>
      <c r="K156" s="13" t="s">
        <v>410</v>
      </c>
      <c r="L156" s="15" t="s">
        <v>171</v>
      </c>
    </row>
    <row r="157" spans="1:12" ht="27">
      <c r="A157" s="4" t="s">
        <v>411</v>
      </c>
      <c r="B157" t="s">
        <v>44</v>
      </c>
      <c r="C157" t="s">
        <v>45</v>
      </c>
      <c r="D157" s="13" t="s">
        <v>69</v>
      </c>
      <c r="E157" t="s">
        <v>47</v>
      </c>
      <c r="F157" t="s">
        <v>48</v>
      </c>
      <c r="G157" s="9">
        <v>4275000</v>
      </c>
      <c r="H157" s="9">
        <v>0</v>
      </c>
      <c r="I157" s="11">
        <v>0</v>
      </c>
      <c r="J157" t="s">
        <v>49</v>
      </c>
      <c r="K157" s="13" t="s">
        <v>412</v>
      </c>
      <c r="L157" s="15" t="s">
        <v>260</v>
      </c>
    </row>
    <row r="158" spans="1:12" ht="27">
      <c r="A158" s="4" t="s">
        <v>413</v>
      </c>
      <c r="B158" t="s">
        <v>44</v>
      </c>
      <c r="C158" t="s">
        <v>45</v>
      </c>
      <c r="D158" s="13" t="s">
        <v>414</v>
      </c>
      <c r="E158" t="s">
        <v>47</v>
      </c>
      <c r="F158" t="s">
        <v>84</v>
      </c>
      <c r="G158" s="9">
        <v>111500000</v>
      </c>
      <c r="H158" s="9">
        <v>44767920</v>
      </c>
      <c r="I158" s="11">
        <v>40</v>
      </c>
      <c r="J158" t="s">
        <v>49</v>
      </c>
      <c r="K158" s="13" t="s">
        <v>415</v>
      </c>
      <c r="L158" s="15" t="s">
        <v>350</v>
      </c>
    </row>
    <row r="159" spans="1:12" ht="27">
      <c r="A159" s="4" t="s">
        <v>420</v>
      </c>
      <c r="B159" t="s">
        <v>44</v>
      </c>
      <c r="C159" t="s">
        <v>45</v>
      </c>
      <c r="D159" s="13" t="s">
        <v>421</v>
      </c>
      <c r="E159" t="s">
        <v>47</v>
      </c>
      <c r="F159" t="s">
        <v>48</v>
      </c>
      <c r="G159" s="9">
        <v>4800000</v>
      </c>
      <c r="H159" s="9">
        <v>0</v>
      </c>
      <c r="I159" s="11">
        <v>0</v>
      </c>
      <c r="J159" t="s">
        <v>49</v>
      </c>
      <c r="K159" s="13" t="s">
        <v>422</v>
      </c>
      <c r="L159" s="15" t="s">
        <v>260</v>
      </c>
    </row>
    <row r="160" spans="1:12" ht="27">
      <c r="A160" s="4" t="s">
        <v>423</v>
      </c>
      <c r="B160" t="s">
        <v>44</v>
      </c>
      <c r="C160" t="s">
        <v>45</v>
      </c>
      <c r="D160" s="13" t="s">
        <v>424</v>
      </c>
      <c r="E160" t="s">
        <v>47</v>
      </c>
      <c r="F160" t="s">
        <v>48</v>
      </c>
      <c r="G160" s="9">
        <v>4800000</v>
      </c>
      <c r="H160" s="9">
        <v>0</v>
      </c>
      <c r="I160" s="11">
        <v>0</v>
      </c>
      <c r="J160" t="s">
        <v>49</v>
      </c>
      <c r="K160" s="13" t="s">
        <v>422</v>
      </c>
      <c r="L160" s="15" t="s">
        <v>260</v>
      </c>
    </row>
    <row r="161" spans="1:12" ht="27">
      <c r="A161" s="4" t="s">
        <v>425</v>
      </c>
      <c r="B161" t="s">
        <v>44</v>
      </c>
      <c r="C161" t="s">
        <v>45</v>
      </c>
      <c r="D161" s="13" t="s">
        <v>208</v>
      </c>
      <c r="E161" t="s">
        <v>47</v>
      </c>
      <c r="F161" t="s">
        <v>48</v>
      </c>
      <c r="G161" s="9">
        <v>21600000</v>
      </c>
      <c r="H161" s="9">
        <v>0</v>
      </c>
      <c r="I161" s="11">
        <v>0</v>
      </c>
      <c r="J161" t="s">
        <v>49</v>
      </c>
      <c r="K161" s="13" t="s">
        <v>426</v>
      </c>
      <c r="L161" s="15" t="s">
        <v>260</v>
      </c>
    </row>
    <row r="162" spans="1:12" ht="27">
      <c r="A162" s="4" t="s">
        <v>427</v>
      </c>
      <c r="B162" t="s">
        <v>44</v>
      </c>
      <c r="C162" t="s">
        <v>45</v>
      </c>
      <c r="D162" s="13" t="s">
        <v>428</v>
      </c>
      <c r="E162" t="s">
        <v>47</v>
      </c>
      <c r="F162" t="s">
        <v>48</v>
      </c>
      <c r="G162" s="9">
        <v>750000</v>
      </c>
      <c r="H162" s="9">
        <v>0</v>
      </c>
      <c r="I162" s="11">
        <v>0</v>
      </c>
      <c r="J162" t="s">
        <v>49</v>
      </c>
      <c r="K162" s="13" t="s">
        <v>429</v>
      </c>
      <c r="L162" s="15" t="s">
        <v>260</v>
      </c>
    </row>
    <row r="163" spans="1:12" ht="27">
      <c r="A163" s="4" t="s">
        <v>430</v>
      </c>
      <c r="B163" t="s">
        <v>44</v>
      </c>
      <c r="C163" t="s">
        <v>45</v>
      </c>
      <c r="D163" s="13" t="s">
        <v>431</v>
      </c>
      <c r="E163" t="s">
        <v>47</v>
      </c>
      <c r="F163" t="s">
        <v>48</v>
      </c>
      <c r="G163" s="9">
        <v>7270000</v>
      </c>
      <c r="H163" s="9">
        <v>0</v>
      </c>
      <c r="I163" s="11">
        <v>0</v>
      </c>
      <c r="J163" t="s">
        <v>49</v>
      </c>
      <c r="K163" s="13" t="s">
        <v>432</v>
      </c>
      <c r="L163" s="15" t="s">
        <v>260</v>
      </c>
    </row>
    <row r="164" spans="1:12" ht="27">
      <c r="A164" s="4" t="s">
        <v>433</v>
      </c>
      <c r="B164" t="s">
        <v>44</v>
      </c>
      <c r="C164" t="s">
        <v>45</v>
      </c>
      <c r="D164" s="13" t="s">
        <v>208</v>
      </c>
      <c r="E164" t="s">
        <v>47</v>
      </c>
      <c r="F164" t="s">
        <v>48</v>
      </c>
      <c r="G164" s="9">
        <v>4800000</v>
      </c>
      <c r="H164" s="9">
        <v>0</v>
      </c>
      <c r="I164" s="11">
        <v>0</v>
      </c>
      <c r="J164" t="s">
        <v>49</v>
      </c>
      <c r="K164" s="13" t="s">
        <v>422</v>
      </c>
      <c r="L164" s="15" t="s">
        <v>260</v>
      </c>
    </row>
    <row r="165" spans="1:12" ht="27">
      <c r="A165" s="4" t="s">
        <v>434</v>
      </c>
      <c r="B165" t="s">
        <v>44</v>
      </c>
      <c r="C165" t="s">
        <v>45</v>
      </c>
      <c r="D165" s="13" t="s">
        <v>435</v>
      </c>
      <c r="E165" t="s">
        <v>47</v>
      </c>
      <c r="F165" t="s">
        <v>48</v>
      </c>
      <c r="G165" s="9">
        <v>1250000</v>
      </c>
      <c r="H165" s="9">
        <v>0</v>
      </c>
      <c r="I165" s="11">
        <v>0</v>
      </c>
      <c r="J165" t="s">
        <v>49</v>
      </c>
      <c r="K165" s="13" t="s">
        <v>436</v>
      </c>
      <c r="L165" s="15" t="s">
        <v>260</v>
      </c>
    </row>
    <row r="166" spans="1:12" ht="27">
      <c r="A166" s="4" t="s">
        <v>437</v>
      </c>
      <c r="B166" t="s">
        <v>44</v>
      </c>
      <c r="C166" t="s">
        <v>45</v>
      </c>
      <c r="D166" s="13" t="s">
        <v>438</v>
      </c>
      <c r="E166" t="s">
        <v>47</v>
      </c>
      <c r="F166" t="s">
        <v>48</v>
      </c>
      <c r="G166" s="9">
        <v>5120000</v>
      </c>
      <c r="H166" s="9">
        <v>0</v>
      </c>
      <c r="I166" s="11">
        <v>0</v>
      </c>
      <c r="J166" t="s">
        <v>49</v>
      </c>
      <c r="K166" s="13" t="s">
        <v>439</v>
      </c>
      <c r="L166" s="15" t="s">
        <v>260</v>
      </c>
    </row>
    <row r="167" spans="1:12" ht="27">
      <c r="A167" s="4" t="s">
        <v>440</v>
      </c>
      <c r="B167" t="s">
        <v>44</v>
      </c>
      <c r="C167" t="s">
        <v>45</v>
      </c>
      <c r="D167" s="13" t="s">
        <v>441</v>
      </c>
      <c r="E167" t="s">
        <v>47</v>
      </c>
      <c r="F167" t="s">
        <v>48</v>
      </c>
      <c r="G167" s="9">
        <v>23040000</v>
      </c>
      <c r="H167" s="9">
        <v>0</v>
      </c>
      <c r="I167" s="11">
        <v>0</v>
      </c>
      <c r="J167" t="s">
        <v>49</v>
      </c>
      <c r="K167" s="13" t="s">
        <v>442</v>
      </c>
      <c r="L167" s="15" t="s">
        <v>260</v>
      </c>
    </row>
    <row r="168" spans="1:12" ht="27">
      <c r="A168" s="4" t="s">
        <v>443</v>
      </c>
      <c r="B168" t="s">
        <v>44</v>
      </c>
      <c r="C168" t="s">
        <v>45</v>
      </c>
      <c r="D168" s="13" t="s">
        <v>444</v>
      </c>
      <c r="E168" t="s">
        <v>47</v>
      </c>
      <c r="F168" t="s">
        <v>48</v>
      </c>
      <c r="G168" s="9">
        <v>8000000</v>
      </c>
      <c r="H168" s="9">
        <v>0</v>
      </c>
      <c r="I168" s="11">
        <v>0</v>
      </c>
      <c r="J168" t="s">
        <v>49</v>
      </c>
      <c r="K168" s="13" t="s">
        <v>445</v>
      </c>
      <c r="L168" s="15" t="s">
        <v>260</v>
      </c>
    </row>
    <row r="169" spans="1:12" ht="27">
      <c r="A169" s="4" t="s">
        <v>446</v>
      </c>
      <c r="B169" t="s">
        <v>44</v>
      </c>
      <c r="C169" t="s">
        <v>45</v>
      </c>
      <c r="D169" s="13" t="s">
        <v>447</v>
      </c>
      <c r="E169" t="s">
        <v>47</v>
      </c>
      <c r="F169" t="s">
        <v>48</v>
      </c>
      <c r="G169" s="9">
        <v>800000</v>
      </c>
      <c r="H169" s="9">
        <v>0</v>
      </c>
      <c r="I169" s="11">
        <v>0</v>
      </c>
      <c r="J169" t="s">
        <v>49</v>
      </c>
      <c r="K169" s="13" t="s">
        <v>448</v>
      </c>
      <c r="L169" s="15" t="s">
        <v>260</v>
      </c>
    </row>
    <row r="170" spans="1:12" ht="27">
      <c r="A170" s="4" t="s">
        <v>449</v>
      </c>
      <c r="B170" t="s">
        <v>44</v>
      </c>
      <c r="C170" t="s">
        <v>45</v>
      </c>
      <c r="D170" s="13" t="s">
        <v>450</v>
      </c>
      <c r="E170" t="s">
        <v>47</v>
      </c>
      <c r="F170" t="s">
        <v>48</v>
      </c>
      <c r="G170" s="9">
        <v>12000000</v>
      </c>
      <c r="H170" s="9">
        <v>0</v>
      </c>
      <c r="I170" s="11">
        <v>0</v>
      </c>
      <c r="J170" t="s">
        <v>49</v>
      </c>
      <c r="K170" s="13" t="s">
        <v>451</v>
      </c>
      <c r="L170" s="15" t="s">
        <v>260</v>
      </c>
    </row>
    <row r="171" spans="1:12" ht="27">
      <c r="A171" s="4" t="s">
        <v>452</v>
      </c>
      <c r="B171" t="s">
        <v>44</v>
      </c>
      <c r="C171" t="s">
        <v>45</v>
      </c>
      <c r="D171" s="13" t="s">
        <v>453</v>
      </c>
      <c r="E171" t="s">
        <v>47</v>
      </c>
      <c r="F171" t="s">
        <v>48</v>
      </c>
      <c r="G171" s="9">
        <v>16500000</v>
      </c>
      <c r="H171" s="9">
        <v>0</v>
      </c>
      <c r="I171" s="11">
        <v>0</v>
      </c>
      <c r="J171" t="s">
        <v>49</v>
      </c>
      <c r="K171" s="13" t="s">
        <v>454</v>
      </c>
      <c r="L171" s="15" t="s">
        <v>260</v>
      </c>
    </row>
    <row r="172" spans="1:12" ht="27">
      <c r="A172" s="4" t="s">
        <v>455</v>
      </c>
      <c r="B172" t="s">
        <v>44</v>
      </c>
      <c r="C172" t="s">
        <v>45</v>
      </c>
      <c r="D172" s="13" t="s">
        <v>456</v>
      </c>
      <c r="E172" t="s">
        <v>47</v>
      </c>
      <c r="F172" t="s">
        <v>48</v>
      </c>
      <c r="G172" s="9">
        <v>35000000</v>
      </c>
      <c r="H172" s="9">
        <v>0</v>
      </c>
      <c r="I172" s="11">
        <v>0</v>
      </c>
      <c r="J172" t="s">
        <v>49</v>
      </c>
      <c r="K172" s="13" t="s">
        <v>457</v>
      </c>
      <c r="L172" s="15" t="s">
        <v>260</v>
      </c>
    </row>
    <row r="173" spans="1:12" ht="27">
      <c r="A173" s="4" t="s">
        <v>458</v>
      </c>
      <c r="B173" t="s">
        <v>44</v>
      </c>
      <c r="C173" t="s">
        <v>45</v>
      </c>
      <c r="D173" s="13" t="s">
        <v>459</v>
      </c>
      <c r="E173" t="s">
        <v>47</v>
      </c>
      <c r="F173" t="s">
        <v>48</v>
      </c>
      <c r="G173" s="9">
        <v>55500000</v>
      </c>
      <c r="H173" s="9">
        <v>0</v>
      </c>
      <c r="I173" s="11">
        <v>0</v>
      </c>
      <c r="J173" t="s">
        <v>49</v>
      </c>
      <c r="K173" s="13" t="s">
        <v>460</v>
      </c>
      <c r="L173" s="15" t="s">
        <v>350</v>
      </c>
    </row>
    <row r="174" spans="1:12" ht="27">
      <c r="A174" s="4" t="s">
        <v>461</v>
      </c>
      <c r="B174" t="s">
        <v>44</v>
      </c>
      <c r="C174" t="s">
        <v>45</v>
      </c>
      <c r="D174" s="13" t="s">
        <v>462</v>
      </c>
      <c r="E174" t="s">
        <v>47</v>
      </c>
      <c r="F174" t="s">
        <v>48</v>
      </c>
      <c r="G174" s="9">
        <v>8750000</v>
      </c>
      <c r="H174" s="9">
        <v>0</v>
      </c>
      <c r="I174" s="11">
        <v>0</v>
      </c>
      <c r="J174" t="s">
        <v>49</v>
      </c>
      <c r="K174" s="13" t="s">
        <v>463</v>
      </c>
      <c r="L174" s="15" t="s">
        <v>260</v>
      </c>
    </row>
    <row r="175" spans="1:12" ht="40.5">
      <c r="A175" s="4" t="s">
        <v>464</v>
      </c>
      <c r="B175" t="s">
        <v>44</v>
      </c>
      <c r="C175" t="s">
        <v>45</v>
      </c>
      <c r="D175" s="13" t="s">
        <v>465</v>
      </c>
      <c r="E175" t="s">
        <v>47</v>
      </c>
      <c r="F175" t="s">
        <v>48</v>
      </c>
      <c r="G175" s="9">
        <v>852000000</v>
      </c>
      <c r="H175" s="9">
        <v>0</v>
      </c>
      <c r="I175" s="11">
        <v>0</v>
      </c>
      <c r="J175" t="s">
        <v>466</v>
      </c>
      <c r="K175" s="13" t="s">
        <v>467</v>
      </c>
      <c r="L175" s="15" t="s">
        <v>468</v>
      </c>
    </row>
    <row r="176" spans="1:12" ht="40.5">
      <c r="A176" s="4" t="s">
        <v>470</v>
      </c>
      <c r="B176" t="s">
        <v>44</v>
      </c>
      <c r="C176" t="s">
        <v>45</v>
      </c>
      <c r="D176" s="13" t="s">
        <v>471</v>
      </c>
      <c r="E176" t="s">
        <v>47</v>
      </c>
      <c r="F176" t="s">
        <v>48</v>
      </c>
      <c r="G176" s="9">
        <v>2704000</v>
      </c>
      <c r="H176" s="9">
        <v>0</v>
      </c>
      <c r="I176" s="11">
        <v>0</v>
      </c>
      <c r="J176" t="s">
        <v>49</v>
      </c>
      <c r="K176" s="13" t="s">
        <v>472</v>
      </c>
      <c r="L176" s="15" t="s">
        <v>63</v>
      </c>
    </row>
    <row r="177" spans="1:12" ht="27">
      <c r="A177" s="4" t="s">
        <v>473</v>
      </c>
      <c r="B177" t="s">
        <v>44</v>
      </c>
      <c r="C177" t="s">
        <v>45</v>
      </c>
      <c r="D177" s="13" t="s">
        <v>474</v>
      </c>
      <c r="E177" t="s">
        <v>47</v>
      </c>
      <c r="F177" t="s">
        <v>48</v>
      </c>
      <c r="G177" s="9">
        <v>51000000</v>
      </c>
      <c r="H177" s="9">
        <v>0</v>
      </c>
      <c r="I177" s="11">
        <v>0</v>
      </c>
      <c r="J177" t="s">
        <v>49</v>
      </c>
      <c r="K177" s="13" t="s">
        <v>475</v>
      </c>
      <c r="L177" s="15" t="s">
        <v>350</v>
      </c>
    </row>
    <row r="178" spans="1:12" ht="27">
      <c r="A178" s="4" t="s">
        <v>476</v>
      </c>
      <c r="B178" t="s">
        <v>44</v>
      </c>
      <c r="C178" t="s">
        <v>45</v>
      </c>
      <c r="D178" s="13" t="s">
        <v>477</v>
      </c>
      <c r="E178" t="s">
        <v>47</v>
      </c>
      <c r="F178" t="s">
        <v>48</v>
      </c>
      <c r="G178" s="9">
        <v>8750000</v>
      </c>
      <c r="H178" s="9">
        <v>0</v>
      </c>
      <c r="I178" s="11">
        <v>0</v>
      </c>
      <c r="J178" t="s">
        <v>49</v>
      </c>
      <c r="K178" s="13" t="s">
        <v>463</v>
      </c>
      <c r="L178" s="15" t="s">
        <v>260</v>
      </c>
    </row>
    <row r="179" spans="1:12" ht="27">
      <c r="A179" s="4" t="s">
        <v>478</v>
      </c>
      <c r="B179" t="s">
        <v>44</v>
      </c>
      <c r="C179" t="s">
        <v>45</v>
      </c>
      <c r="D179" s="13" t="s">
        <v>479</v>
      </c>
      <c r="E179" t="s">
        <v>47</v>
      </c>
      <c r="F179" t="s">
        <v>48</v>
      </c>
      <c r="G179" s="9">
        <v>6250000</v>
      </c>
      <c r="H179" s="9">
        <v>0</v>
      </c>
      <c r="I179" s="11">
        <v>0</v>
      </c>
      <c r="J179" t="s">
        <v>49</v>
      </c>
      <c r="K179" s="13" t="s">
        <v>480</v>
      </c>
      <c r="L179" s="15" t="s">
        <v>260</v>
      </c>
    </row>
    <row r="180" spans="1:12" ht="27">
      <c r="A180" s="4" t="s">
        <v>481</v>
      </c>
      <c r="B180" t="s">
        <v>44</v>
      </c>
      <c r="C180" t="s">
        <v>45</v>
      </c>
      <c r="D180" s="13" t="s">
        <v>482</v>
      </c>
      <c r="E180" t="s">
        <v>47</v>
      </c>
      <c r="F180" t="s">
        <v>84</v>
      </c>
      <c r="G180" s="9">
        <v>64000000</v>
      </c>
      <c r="H180" s="9">
        <v>23561600</v>
      </c>
      <c r="I180" s="11">
        <v>37</v>
      </c>
      <c r="J180" t="s">
        <v>49</v>
      </c>
      <c r="K180" s="13" t="s">
        <v>483</v>
      </c>
      <c r="L180" s="15" t="s">
        <v>350</v>
      </c>
    </row>
    <row r="181" spans="1:12" ht="40.5">
      <c r="A181" s="4" t="s">
        <v>485</v>
      </c>
      <c r="B181" t="s">
        <v>44</v>
      </c>
      <c r="C181" t="s">
        <v>45</v>
      </c>
      <c r="D181" s="13" t="s">
        <v>486</v>
      </c>
      <c r="E181" t="s">
        <v>47</v>
      </c>
      <c r="F181" t="s">
        <v>48</v>
      </c>
      <c r="G181" s="9">
        <v>227200000</v>
      </c>
      <c r="H181" s="9">
        <v>0</v>
      </c>
      <c r="I181" s="11">
        <v>0</v>
      </c>
      <c r="J181" t="s">
        <v>466</v>
      </c>
      <c r="K181" s="13" t="s">
        <v>487</v>
      </c>
      <c r="L181" s="15" t="s">
        <v>468</v>
      </c>
    </row>
    <row r="182" spans="1:12" ht="27">
      <c r="A182" s="4" t="s">
        <v>488</v>
      </c>
      <c r="B182" t="s">
        <v>44</v>
      </c>
      <c r="C182" t="s">
        <v>45</v>
      </c>
      <c r="D182" s="13" t="s">
        <v>489</v>
      </c>
      <c r="E182" t="s">
        <v>47</v>
      </c>
      <c r="F182" t="s">
        <v>48</v>
      </c>
      <c r="G182" s="9">
        <v>17750000</v>
      </c>
      <c r="H182" s="9">
        <v>0</v>
      </c>
      <c r="I182" s="11">
        <v>0</v>
      </c>
      <c r="J182" t="s">
        <v>49</v>
      </c>
      <c r="K182" s="13" t="s">
        <v>490</v>
      </c>
      <c r="L182" s="15" t="s">
        <v>260</v>
      </c>
    </row>
    <row r="183" spans="1:12" ht="40.5">
      <c r="A183" s="4" t="s">
        <v>491</v>
      </c>
      <c r="B183" t="s">
        <v>44</v>
      </c>
      <c r="C183" t="s">
        <v>45</v>
      </c>
      <c r="D183" s="13" t="s">
        <v>492</v>
      </c>
      <c r="E183" t="s">
        <v>47</v>
      </c>
      <c r="F183" t="s">
        <v>84</v>
      </c>
      <c r="G183" s="9">
        <v>300000000</v>
      </c>
      <c r="H183" s="9">
        <v>105233402</v>
      </c>
      <c r="I183" s="11">
        <v>35</v>
      </c>
      <c r="J183" t="s">
        <v>466</v>
      </c>
      <c r="K183" s="13" t="s">
        <v>494</v>
      </c>
      <c r="L183" s="15" t="s">
        <v>495</v>
      </c>
    </row>
    <row r="184" spans="1:12" ht="27">
      <c r="A184" s="4" t="s">
        <v>497</v>
      </c>
      <c r="B184" t="s">
        <v>44</v>
      </c>
      <c r="C184" t="s">
        <v>45</v>
      </c>
      <c r="D184" s="13" t="s">
        <v>498</v>
      </c>
      <c r="E184" t="s">
        <v>47</v>
      </c>
      <c r="F184" t="s">
        <v>48</v>
      </c>
      <c r="G184" s="9">
        <v>22541000</v>
      </c>
      <c r="H184" s="9">
        <v>0</v>
      </c>
      <c r="I184" s="11">
        <v>0</v>
      </c>
      <c r="J184" t="s">
        <v>49</v>
      </c>
      <c r="K184" s="13" t="s">
        <v>499</v>
      </c>
      <c r="L184" s="15" t="s">
        <v>260</v>
      </c>
    </row>
    <row r="185" spans="1:12" ht="27">
      <c r="A185" s="4" t="s">
        <v>500</v>
      </c>
      <c r="B185" t="s">
        <v>44</v>
      </c>
      <c r="C185" t="s">
        <v>45</v>
      </c>
      <c r="D185" s="13" t="s">
        <v>501</v>
      </c>
      <c r="E185" t="s">
        <v>47</v>
      </c>
      <c r="F185" t="s">
        <v>48</v>
      </c>
      <c r="G185" s="9">
        <v>100000000</v>
      </c>
      <c r="H185" s="9">
        <v>0</v>
      </c>
      <c r="I185" s="11">
        <v>0</v>
      </c>
      <c r="J185" t="s">
        <v>49</v>
      </c>
      <c r="K185" s="13" t="s">
        <v>502</v>
      </c>
      <c r="L185" s="15" t="s">
        <v>350</v>
      </c>
    </row>
    <row r="186" spans="1:12" ht="27">
      <c r="A186" s="4" t="s">
        <v>503</v>
      </c>
      <c r="B186" t="s">
        <v>44</v>
      </c>
      <c r="C186" t="s">
        <v>45</v>
      </c>
      <c r="D186" s="13" t="s">
        <v>504</v>
      </c>
      <c r="E186" t="s">
        <v>47</v>
      </c>
      <c r="F186" t="s">
        <v>48</v>
      </c>
      <c r="G186" s="9">
        <v>8000000</v>
      </c>
      <c r="H186" s="9">
        <v>0</v>
      </c>
      <c r="I186" s="11">
        <v>0</v>
      </c>
      <c r="J186" t="s">
        <v>49</v>
      </c>
      <c r="K186" s="13" t="s">
        <v>505</v>
      </c>
      <c r="L186" s="15" t="s">
        <v>260</v>
      </c>
    </row>
    <row r="187" spans="1:12" ht="27">
      <c r="A187" s="4" t="s">
        <v>506</v>
      </c>
      <c r="B187" t="s">
        <v>44</v>
      </c>
      <c r="C187" t="s">
        <v>45</v>
      </c>
      <c r="D187" s="13" t="s">
        <v>507</v>
      </c>
      <c r="E187" t="s">
        <v>47</v>
      </c>
      <c r="F187" t="s">
        <v>48</v>
      </c>
      <c r="G187" s="9">
        <v>36000000</v>
      </c>
      <c r="H187" s="9">
        <v>0</v>
      </c>
      <c r="I187" s="11">
        <v>0</v>
      </c>
      <c r="J187" t="s">
        <v>49</v>
      </c>
      <c r="K187" s="13" t="s">
        <v>508</v>
      </c>
      <c r="L187" s="15" t="s">
        <v>260</v>
      </c>
    </row>
    <row r="188" spans="1:12" ht="27">
      <c r="A188" s="4" t="s">
        <v>509</v>
      </c>
      <c r="B188" t="s">
        <v>44</v>
      </c>
      <c r="C188" t="s">
        <v>45</v>
      </c>
      <c r="D188" s="13" t="s">
        <v>510</v>
      </c>
      <c r="E188" t="s">
        <v>47</v>
      </c>
      <c r="F188" t="s">
        <v>48</v>
      </c>
      <c r="G188" s="9">
        <v>12400000</v>
      </c>
      <c r="H188" s="9">
        <v>0</v>
      </c>
      <c r="I188" s="11">
        <v>0</v>
      </c>
      <c r="J188" t="s">
        <v>49</v>
      </c>
      <c r="K188" s="13" t="s">
        <v>511</v>
      </c>
      <c r="L188" s="15" t="s">
        <v>260</v>
      </c>
    </row>
    <row r="189" spans="1:12" ht="27">
      <c r="A189" s="4" t="s">
        <v>512</v>
      </c>
      <c r="B189" t="s">
        <v>44</v>
      </c>
      <c r="C189" t="s">
        <v>45</v>
      </c>
      <c r="D189" s="13" t="s">
        <v>513</v>
      </c>
      <c r="E189" t="s">
        <v>47</v>
      </c>
      <c r="F189" t="s">
        <v>48</v>
      </c>
      <c r="G189" s="9">
        <v>2820000</v>
      </c>
      <c r="H189" s="9">
        <v>0</v>
      </c>
      <c r="I189" s="11">
        <v>0</v>
      </c>
      <c r="J189" t="s">
        <v>49</v>
      </c>
      <c r="K189" s="13" t="s">
        <v>514</v>
      </c>
      <c r="L189" s="15" t="s">
        <v>260</v>
      </c>
    </row>
    <row r="190" spans="1:12" ht="27">
      <c r="A190" s="4" t="s">
        <v>515</v>
      </c>
      <c r="B190" t="s">
        <v>44</v>
      </c>
      <c r="C190" t="s">
        <v>45</v>
      </c>
      <c r="D190" s="13" t="s">
        <v>516</v>
      </c>
      <c r="E190" t="s">
        <v>47</v>
      </c>
      <c r="F190" t="s">
        <v>48</v>
      </c>
      <c r="G190" s="9">
        <v>6000000</v>
      </c>
      <c r="H190" s="9">
        <v>0</v>
      </c>
      <c r="I190" s="11">
        <v>0</v>
      </c>
      <c r="J190" t="s">
        <v>49</v>
      </c>
      <c r="K190" s="13" t="s">
        <v>517</v>
      </c>
      <c r="L190" s="15" t="s">
        <v>260</v>
      </c>
    </row>
    <row r="191" spans="1:12" ht="27">
      <c r="A191" s="4" t="s">
        <v>518</v>
      </c>
      <c r="B191" t="s">
        <v>44</v>
      </c>
      <c r="C191" t="s">
        <v>45</v>
      </c>
      <c r="D191" s="13" t="s">
        <v>519</v>
      </c>
      <c r="E191" t="s">
        <v>47</v>
      </c>
      <c r="F191" t="s">
        <v>48</v>
      </c>
      <c r="G191" s="9">
        <v>45500000</v>
      </c>
      <c r="H191" s="9">
        <v>0</v>
      </c>
      <c r="I191" s="11">
        <v>0</v>
      </c>
      <c r="J191" t="s">
        <v>49</v>
      </c>
      <c r="K191" s="13" t="s">
        <v>520</v>
      </c>
      <c r="L191" s="15" t="s">
        <v>260</v>
      </c>
    </row>
    <row r="192" spans="1:12" ht="27">
      <c r="A192" s="4" t="s">
        <v>521</v>
      </c>
      <c r="B192" t="s">
        <v>44</v>
      </c>
      <c r="C192" t="s">
        <v>45</v>
      </c>
      <c r="D192" s="13" t="s">
        <v>522</v>
      </c>
      <c r="E192" t="s">
        <v>47</v>
      </c>
      <c r="F192" t="s">
        <v>84</v>
      </c>
      <c r="G192" s="9">
        <v>190155000</v>
      </c>
      <c r="H192" s="9">
        <v>91165314</v>
      </c>
      <c r="I192" s="11">
        <v>48</v>
      </c>
      <c r="J192" t="s">
        <v>49</v>
      </c>
      <c r="K192" s="13" t="s">
        <v>523</v>
      </c>
      <c r="L192" s="15" t="s">
        <v>350</v>
      </c>
    </row>
    <row r="193" spans="1:12" ht="27">
      <c r="A193" s="4" t="s">
        <v>528</v>
      </c>
      <c r="B193" t="s">
        <v>44</v>
      </c>
      <c r="C193" t="s">
        <v>45</v>
      </c>
      <c r="D193" s="13" t="s">
        <v>100</v>
      </c>
      <c r="E193" t="s">
        <v>47</v>
      </c>
      <c r="F193" t="s">
        <v>48</v>
      </c>
      <c r="G193" s="9">
        <v>136000000</v>
      </c>
      <c r="H193" s="9">
        <v>0</v>
      </c>
      <c r="I193" s="11">
        <v>0</v>
      </c>
      <c r="J193" t="s">
        <v>49</v>
      </c>
      <c r="K193" s="13" t="s">
        <v>529</v>
      </c>
      <c r="L193" s="15" t="s">
        <v>350</v>
      </c>
    </row>
    <row r="194" spans="1:12" ht="27">
      <c r="A194" s="4" t="s">
        <v>530</v>
      </c>
      <c r="B194" t="s">
        <v>44</v>
      </c>
      <c r="C194" t="s">
        <v>45</v>
      </c>
      <c r="D194" s="13" t="s">
        <v>105</v>
      </c>
      <c r="E194" t="s">
        <v>47</v>
      </c>
      <c r="F194" t="s">
        <v>48</v>
      </c>
      <c r="G194" s="9">
        <v>13600000</v>
      </c>
      <c r="H194" s="9">
        <v>0</v>
      </c>
      <c r="I194" s="11">
        <v>0</v>
      </c>
      <c r="J194" t="s">
        <v>49</v>
      </c>
      <c r="K194" s="13" t="s">
        <v>531</v>
      </c>
      <c r="L194" s="15" t="s">
        <v>260</v>
      </c>
    </row>
    <row r="195" spans="1:12" ht="27">
      <c r="A195" s="4" t="s">
        <v>532</v>
      </c>
      <c r="B195" t="s">
        <v>44</v>
      </c>
      <c r="C195" t="s">
        <v>45</v>
      </c>
      <c r="D195" s="13" t="s">
        <v>80</v>
      </c>
      <c r="E195" t="s">
        <v>47</v>
      </c>
      <c r="F195" t="s">
        <v>48</v>
      </c>
      <c r="G195" s="9">
        <v>21250000</v>
      </c>
      <c r="H195" s="9">
        <v>0</v>
      </c>
      <c r="I195" s="11">
        <v>0</v>
      </c>
      <c r="J195" t="s">
        <v>49</v>
      </c>
      <c r="K195" s="13" t="s">
        <v>533</v>
      </c>
      <c r="L195" s="15" t="s">
        <v>260</v>
      </c>
    </row>
    <row r="196" spans="1:12" ht="27">
      <c r="A196" s="4" t="s">
        <v>534</v>
      </c>
      <c r="B196" t="s">
        <v>44</v>
      </c>
      <c r="C196" t="s">
        <v>45</v>
      </c>
      <c r="D196" s="13" t="s">
        <v>108</v>
      </c>
      <c r="E196" t="s">
        <v>47</v>
      </c>
      <c r="F196" t="s">
        <v>48</v>
      </c>
      <c r="G196" s="9">
        <v>85000000</v>
      </c>
      <c r="H196" s="9">
        <v>0</v>
      </c>
      <c r="I196" s="11">
        <v>0</v>
      </c>
      <c r="J196" t="s">
        <v>49</v>
      </c>
      <c r="K196" s="13" t="s">
        <v>535</v>
      </c>
      <c r="L196" s="15" t="s">
        <v>350</v>
      </c>
    </row>
    <row r="197" spans="1:12" ht="27">
      <c r="A197" s="4" t="s">
        <v>536</v>
      </c>
      <c r="B197" t="s">
        <v>44</v>
      </c>
      <c r="C197" t="s">
        <v>45</v>
      </c>
      <c r="D197" s="13" t="s">
        <v>474</v>
      </c>
      <c r="E197" t="s">
        <v>47</v>
      </c>
      <c r="F197" t="s">
        <v>48</v>
      </c>
      <c r="G197" s="9">
        <v>30035000</v>
      </c>
      <c r="H197" s="9">
        <v>0</v>
      </c>
      <c r="I197" s="11">
        <v>0</v>
      </c>
      <c r="J197" t="s">
        <v>49</v>
      </c>
      <c r="K197" s="13" t="s">
        <v>537</v>
      </c>
      <c r="L197" s="15" t="s">
        <v>260</v>
      </c>
    </row>
    <row r="198" spans="1:12" ht="27">
      <c r="A198" s="4" t="s">
        <v>538</v>
      </c>
      <c r="B198" t="s">
        <v>44</v>
      </c>
      <c r="C198" t="s">
        <v>45</v>
      </c>
      <c r="D198" s="13" t="s">
        <v>539</v>
      </c>
      <c r="E198" t="s">
        <v>47</v>
      </c>
      <c r="F198" t="s">
        <v>48</v>
      </c>
      <c r="G198" s="9">
        <v>35200000</v>
      </c>
      <c r="H198" s="9">
        <v>0</v>
      </c>
      <c r="I198" s="11">
        <v>0</v>
      </c>
      <c r="J198" t="s">
        <v>49</v>
      </c>
      <c r="K198" s="13" t="s">
        <v>540</v>
      </c>
      <c r="L198" s="15" t="s">
        <v>260</v>
      </c>
    </row>
    <row r="199" spans="1:12">
      <c r="A199" s="4" t="s">
        <v>541</v>
      </c>
      <c r="B199" t="s">
        <v>44</v>
      </c>
      <c r="C199" t="s">
        <v>45</v>
      </c>
      <c r="D199" s="13" t="s">
        <v>542</v>
      </c>
      <c r="E199" t="s">
        <v>47</v>
      </c>
      <c r="F199" t="s">
        <v>84</v>
      </c>
      <c r="G199" s="9">
        <v>330000000</v>
      </c>
      <c r="H199" s="9">
        <v>74551796</v>
      </c>
      <c r="I199" s="11">
        <v>23</v>
      </c>
      <c r="J199" t="s">
        <v>49</v>
      </c>
      <c r="K199" s="13" t="s">
        <v>527</v>
      </c>
      <c r="L199" s="15" t="s">
        <v>260</v>
      </c>
    </row>
    <row r="200" spans="1:12" ht="27">
      <c r="A200" s="4" t="s">
        <v>544</v>
      </c>
      <c r="B200" t="s">
        <v>44</v>
      </c>
      <c r="C200" t="s">
        <v>45</v>
      </c>
      <c r="D200" s="13" t="s">
        <v>545</v>
      </c>
      <c r="E200" t="s">
        <v>47</v>
      </c>
      <c r="F200" t="s">
        <v>48</v>
      </c>
      <c r="G200" s="9">
        <v>5500000</v>
      </c>
      <c r="H200" s="9">
        <v>0</v>
      </c>
      <c r="I200" s="11">
        <v>0</v>
      </c>
      <c r="J200" t="s">
        <v>49</v>
      </c>
      <c r="K200" s="13" t="s">
        <v>546</v>
      </c>
      <c r="L200" s="15" t="s">
        <v>260</v>
      </c>
    </row>
    <row r="201" spans="1:12" ht="27">
      <c r="A201" s="4" t="s">
        <v>547</v>
      </c>
      <c r="B201" t="s">
        <v>44</v>
      </c>
      <c r="C201" t="s">
        <v>45</v>
      </c>
      <c r="D201" s="13" t="s">
        <v>548</v>
      </c>
      <c r="E201" t="s">
        <v>47</v>
      </c>
      <c r="F201" t="s">
        <v>84</v>
      </c>
      <c r="G201" s="9">
        <v>35200000</v>
      </c>
      <c r="H201" s="9">
        <v>7960000</v>
      </c>
      <c r="I201" s="11">
        <v>23</v>
      </c>
      <c r="J201" t="s">
        <v>49</v>
      </c>
      <c r="K201" s="13" t="s">
        <v>540</v>
      </c>
      <c r="L201" s="15" t="s">
        <v>260</v>
      </c>
    </row>
    <row r="202" spans="1:12" ht="27">
      <c r="A202" s="4" t="s">
        <v>550</v>
      </c>
      <c r="B202" t="s">
        <v>44</v>
      </c>
      <c r="C202" t="s">
        <v>45</v>
      </c>
      <c r="D202" s="13" t="s">
        <v>78</v>
      </c>
      <c r="E202" t="s">
        <v>47</v>
      </c>
      <c r="F202" t="s">
        <v>48</v>
      </c>
      <c r="G202" s="9">
        <v>7000000</v>
      </c>
      <c r="H202" s="9">
        <v>0</v>
      </c>
      <c r="I202" s="11">
        <v>0</v>
      </c>
      <c r="J202" t="s">
        <v>49</v>
      </c>
      <c r="K202" s="13" t="s">
        <v>551</v>
      </c>
      <c r="L202" s="15" t="s">
        <v>260</v>
      </c>
    </row>
    <row r="203" spans="1:12" ht="27">
      <c r="A203" s="4" t="s">
        <v>552</v>
      </c>
      <c r="B203" t="s">
        <v>44</v>
      </c>
      <c r="C203" t="s">
        <v>45</v>
      </c>
      <c r="D203" s="13" t="s">
        <v>208</v>
      </c>
      <c r="E203" t="s">
        <v>47</v>
      </c>
      <c r="F203" t="s">
        <v>48</v>
      </c>
      <c r="G203" s="9">
        <v>16800000</v>
      </c>
      <c r="H203" s="9">
        <v>0</v>
      </c>
      <c r="I203" s="11">
        <v>0</v>
      </c>
      <c r="J203" t="s">
        <v>49</v>
      </c>
      <c r="K203" s="13" t="s">
        <v>553</v>
      </c>
      <c r="L203" s="15" t="s">
        <v>260</v>
      </c>
    </row>
    <row r="204" spans="1:12" ht="27">
      <c r="A204" s="4" t="s">
        <v>554</v>
      </c>
      <c r="B204" t="s">
        <v>44</v>
      </c>
      <c r="C204" t="s">
        <v>45</v>
      </c>
      <c r="D204" s="13" t="s">
        <v>105</v>
      </c>
      <c r="E204" t="s">
        <v>47</v>
      </c>
      <c r="F204" t="s">
        <v>48</v>
      </c>
      <c r="G204" s="9">
        <v>1120000</v>
      </c>
      <c r="H204" s="9">
        <v>0</v>
      </c>
      <c r="I204" s="11">
        <v>0</v>
      </c>
      <c r="J204" t="s">
        <v>49</v>
      </c>
      <c r="K204" s="13" t="s">
        <v>555</v>
      </c>
      <c r="L204" s="15" t="s">
        <v>260</v>
      </c>
    </row>
    <row r="205" spans="1:12" ht="27">
      <c r="A205" s="4" t="s">
        <v>556</v>
      </c>
      <c r="B205" t="s">
        <v>44</v>
      </c>
      <c r="C205" t="s">
        <v>45</v>
      </c>
      <c r="D205" s="13" t="s">
        <v>80</v>
      </c>
      <c r="E205" t="s">
        <v>47</v>
      </c>
      <c r="F205" t="s">
        <v>48</v>
      </c>
      <c r="G205" s="9">
        <v>1750000</v>
      </c>
      <c r="H205" s="9">
        <v>0</v>
      </c>
      <c r="I205" s="11">
        <v>0</v>
      </c>
      <c r="J205" t="s">
        <v>49</v>
      </c>
      <c r="K205" s="13" t="s">
        <v>557</v>
      </c>
      <c r="L205" s="15" t="s">
        <v>260</v>
      </c>
    </row>
    <row r="206" spans="1:12" ht="27">
      <c r="A206" s="4" t="s">
        <v>558</v>
      </c>
      <c r="B206" t="s">
        <v>44</v>
      </c>
      <c r="C206" t="s">
        <v>45</v>
      </c>
      <c r="D206" s="13" t="s">
        <v>559</v>
      </c>
      <c r="E206" t="s">
        <v>47</v>
      </c>
      <c r="F206" t="s">
        <v>48</v>
      </c>
      <c r="G206" s="9">
        <v>24000000</v>
      </c>
      <c r="H206" s="9">
        <v>0</v>
      </c>
      <c r="I206" s="11">
        <v>0</v>
      </c>
      <c r="J206" t="s">
        <v>49</v>
      </c>
      <c r="K206" s="13" t="s">
        <v>560</v>
      </c>
      <c r="L206" s="15" t="s">
        <v>260</v>
      </c>
    </row>
    <row r="207" spans="1:12" ht="27">
      <c r="A207" s="4" t="s">
        <v>561</v>
      </c>
      <c r="B207" t="s">
        <v>44</v>
      </c>
      <c r="C207" t="s">
        <v>45</v>
      </c>
      <c r="D207" s="13" t="s">
        <v>199</v>
      </c>
      <c r="E207" t="s">
        <v>47</v>
      </c>
      <c r="F207" t="s">
        <v>48</v>
      </c>
      <c r="G207" s="9">
        <v>33280000</v>
      </c>
      <c r="H207" s="9">
        <v>0</v>
      </c>
      <c r="I207" s="11">
        <v>0</v>
      </c>
      <c r="J207" t="s">
        <v>49</v>
      </c>
      <c r="K207" s="13" t="s">
        <v>562</v>
      </c>
      <c r="L207" s="15" t="s">
        <v>260</v>
      </c>
    </row>
    <row r="208" spans="1:12" ht="27">
      <c r="A208" s="4" t="s">
        <v>563</v>
      </c>
      <c r="B208" t="s">
        <v>44</v>
      </c>
      <c r="C208" t="s">
        <v>45</v>
      </c>
      <c r="D208" s="13" t="s">
        <v>564</v>
      </c>
      <c r="E208" t="s">
        <v>47</v>
      </c>
      <c r="F208" t="s">
        <v>48</v>
      </c>
      <c r="G208" s="9">
        <v>89920000</v>
      </c>
      <c r="H208" s="9">
        <v>0</v>
      </c>
      <c r="I208" s="11">
        <v>0</v>
      </c>
      <c r="J208" t="s">
        <v>49</v>
      </c>
      <c r="K208" s="13" t="s">
        <v>565</v>
      </c>
      <c r="L208" s="15" t="s">
        <v>350</v>
      </c>
    </row>
    <row r="209" spans="1:12" ht="27">
      <c r="A209" s="4" t="s">
        <v>566</v>
      </c>
      <c r="B209" t="s">
        <v>44</v>
      </c>
      <c r="C209" t="s">
        <v>45</v>
      </c>
      <c r="D209" s="13" t="s">
        <v>100</v>
      </c>
      <c r="E209" t="s">
        <v>47</v>
      </c>
      <c r="F209" t="s">
        <v>48</v>
      </c>
      <c r="G209" s="9">
        <v>11200000</v>
      </c>
      <c r="H209" s="9">
        <v>0</v>
      </c>
      <c r="I209" s="11">
        <v>0</v>
      </c>
      <c r="J209" t="s">
        <v>49</v>
      </c>
      <c r="K209" s="13" t="s">
        <v>567</v>
      </c>
      <c r="L209" s="15" t="s">
        <v>260</v>
      </c>
    </row>
    <row r="210" spans="1:12" ht="27">
      <c r="A210" s="4" t="s">
        <v>568</v>
      </c>
      <c r="B210" t="s">
        <v>44</v>
      </c>
      <c r="C210" t="s">
        <v>45</v>
      </c>
      <c r="D210" s="13" t="s">
        <v>569</v>
      </c>
      <c r="E210" t="s">
        <v>47</v>
      </c>
      <c r="F210" t="s">
        <v>48</v>
      </c>
      <c r="G210" s="9">
        <v>15000000</v>
      </c>
      <c r="H210" s="9">
        <v>0</v>
      </c>
      <c r="I210" s="11">
        <v>0</v>
      </c>
      <c r="J210" t="s">
        <v>49</v>
      </c>
      <c r="K210" s="13" t="s">
        <v>570</v>
      </c>
      <c r="L210" s="15" t="s">
        <v>260</v>
      </c>
    </row>
    <row r="211" spans="1:12" ht="27">
      <c r="A211" s="4" t="s">
        <v>571</v>
      </c>
      <c r="B211" t="s">
        <v>44</v>
      </c>
      <c r="C211" t="s">
        <v>45</v>
      </c>
      <c r="D211" s="13" t="s">
        <v>199</v>
      </c>
      <c r="E211" t="s">
        <v>47</v>
      </c>
      <c r="F211" t="s">
        <v>48</v>
      </c>
      <c r="G211" s="9">
        <v>16640000</v>
      </c>
      <c r="H211" s="9">
        <v>0</v>
      </c>
      <c r="I211" s="11">
        <v>0</v>
      </c>
      <c r="J211" t="s">
        <v>49</v>
      </c>
      <c r="K211" s="13" t="s">
        <v>572</v>
      </c>
      <c r="L211" s="15" t="s">
        <v>260</v>
      </c>
    </row>
    <row r="212" spans="1:12" ht="27">
      <c r="A212" s="4" t="s">
        <v>573</v>
      </c>
      <c r="B212" t="s">
        <v>44</v>
      </c>
      <c r="C212" t="s">
        <v>45</v>
      </c>
      <c r="D212" s="13" t="s">
        <v>208</v>
      </c>
      <c r="E212" t="s">
        <v>47</v>
      </c>
      <c r="F212" t="s">
        <v>48</v>
      </c>
      <c r="G212" s="9">
        <v>16800000</v>
      </c>
      <c r="H212" s="9">
        <v>0</v>
      </c>
      <c r="I212" s="11">
        <v>0</v>
      </c>
      <c r="J212" t="s">
        <v>49</v>
      </c>
      <c r="K212" s="13" t="s">
        <v>553</v>
      </c>
      <c r="L212" s="15" t="s">
        <v>260</v>
      </c>
    </row>
    <row r="213" spans="1:12" ht="27">
      <c r="A213" s="4" t="s">
        <v>574</v>
      </c>
      <c r="B213" t="s">
        <v>44</v>
      </c>
      <c r="C213" t="s">
        <v>45</v>
      </c>
      <c r="D213" s="13" t="s">
        <v>232</v>
      </c>
      <c r="E213" t="s">
        <v>47</v>
      </c>
      <c r="F213" t="s">
        <v>48</v>
      </c>
      <c r="G213" s="9">
        <v>5760000</v>
      </c>
      <c r="H213" s="9">
        <v>0</v>
      </c>
      <c r="I213" s="11">
        <v>0</v>
      </c>
      <c r="J213" t="s">
        <v>49</v>
      </c>
      <c r="K213" s="13" t="s">
        <v>575</v>
      </c>
      <c r="L213" s="15" t="s">
        <v>171</v>
      </c>
    </row>
    <row r="214" spans="1:12" ht="40.5">
      <c r="A214" s="4" t="s">
        <v>576</v>
      </c>
      <c r="B214" t="s">
        <v>44</v>
      </c>
      <c r="C214" t="s">
        <v>45</v>
      </c>
      <c r="D214" s="13" t="s">
        <v>577</v>
      </c>
      <c r="E214" t="s">
        <v>47</v>
      </c>
      <c r="F214" t="s">
        <v>48</v>
      </c>
      <c r="G214" s="9">
        <v>8960000</v>
      </c>
      <c r="H214" s="9">
        <v>0</v>
      </c>
      <c r="I214" s="11">
        <v>0</v>
      </c>
      <c r="J214" t="s">
        <v>49</v>
      </c>
      <c r="K214" s="13" t="s">
        <v>578</v>
      </c>
      <c r="L214" s="15" t="s">
        <v>63</v>
      </c>
    </row>
    <row r="215" spans="1:12" ht="40.5">
      <c r="A215" s="4" t="s">
        <v>579</v>
      </c>
      <c r="B215" t="s">
        <v>44</v>
      </c>
      <c r="C215" t="s">
        <v>45</v>
      </c>
      <c r="D215" s="13" t="s">
        <v>189</v>
      </c>
      <c r="E215" t="s">
        <v>47</v>
      </c>
      <c r="F215" t="s">
        <v>48</v>
      </c>
      <c r="G215" s="9">
        <v>10880000</v>
      </c>
      <c r="H215" s="9">
        <v>0</v>
      </c>
      <c r="I215" s="11">
        <v>0</v>
      </c>
      <c r="J215" t="s">
        <v>49</v>
      </c>
      <c r="K215" s="13" t="s">
        <v>580</v>
      </c>
      <c r="L215" s="15" t="s">
        <v>63</v>
      </c>
    </row>
    <row r="216" spans="1:12" ht="27">
      <c r="A216" s="4" t="s">
        <v>581</v>
      </c>
      <c r="B216" t="s">
        <v>44</v>
      </c>
      <c r="C216" t="s">
        <v>45</v>
      </c>
      <c r="D216" s="13" t="s">
        <v>186</v>
      </c>
      <c r="E216" t="s">
        <v>47</v>
      </c>
      <c r="F216" t="s">
        <v>48</v>
      </c>
      <c r="G216" s="9">
        <v>11200000</v>
      </c>
      <c r="H216" s="9">
        <v>0</v>
      </c>
      <c r="I216" s="11">
        <v>0</v>
      </c>
      <c r="J216" t="s">
        <v>49</v>
      </c>
      <c r="K216" s="13" t="s">
        <v>567</v>
      </c>
      <c r="L216" s="15" t="s">
        <v>260</v>
      </c>
    </row>
    <row r="217" spans="1:12" ht="27">
      <c r="A217" s="4" t="s">
        <v>582</v>
      </c>
      <c r="B217" t="s">
        <v>44</v>
      </c>
      <c r="C217" t="s">
        <v>45</v>
      </c>
      <c r="D217" s="13" t="s">
        <v>583</v>
      </c>
      <c r="E217" t="s">
        <v>47</v>
      </c>
      <c r="F217" t="s">
        <v>48</v>
      </c>
      <c r="G217" s="9">
        <v>19500000</v>
      </c>
      <c r="H217" s="9">
        <v>0</v>
      </c>
      <c r="I217" s="11">
        <v>0</v>
      </c>
      <c r="J217" t="s">
        <v>49</v>
      </c>
      <c r="K217" s="13" t="s">
        <v>584</v>
      </c>
      <c r="L217" s="15" t="s">
        <v>260</v>
      </c>
    </row>
    <row r="218" spans="1:12" ht="27">
      <c r="A218" s="4" t="s">
        <v>585</v>
      </c>
      <c r="B218" t="s">
        <v>44</v>
      </c>
      <c r="C218" t="s">
        <v>45</v>
      </c>
      <c r="D218" s="13" t="s">
        <v>586</v>
      </c>
      <c r="E218" t="s">
        <v>47</v>
      </c>
      <c r="F218" t="s">
        <v>48</v>
      </c>
      <c r="G218" s="9">
        <v>29500000</v>
      </c>
      <c r="H218" s="9">
        <v>0</v>
      </c>
      <c r="I218" s="11">
        <v>0</v>
      </c>
      <c r="J218" t="s">
        <v>49</v>
      </c>
      <c r="K218" s="13" t="s">
        <v>587</v>
      </c>
      <c r="L218" s="15" t="s">
        <v>260</v>
      </c>
    </row>
    <row r="219" spans="1:12" ht="27">
      <c r="A219" s="4" t="s">
        <v>588</v>
      </c>
      <c r="B219" t="s">
        <v>44</v>
      </c>
      <c r="C219" t="s">
        <v>45</v>
      </c>
      <c r="D219" s="13" t="s">
        <v>589</v>
      </c>
      <c r="E219" t="s">
        <v>47</v>
      </c>
      <c r="F219" t="s">
        <v>48</v>
      </c>
      <c r="G219" s="9">
        <v>15000000</v>
      </c>
      <c r="H219" s="9">
        <v>0</v>
      </c>
      <c r="I219" s="11">
        <v>0</v>
      </c>
      <c r="J219" t="s">
        <v>49</v>
      </c>
      <c r="K219" s="13" t="s">
        <v>570</v>
      </c>
      <c r="L219" s="15" t="s">
        <v>260</v>
      </c>
    </row>
    <row r="220" spans="1:12" ht="27">
      <c r="A220" s="4" t="s">
        <v>590</v>
      </c>
      <c r="B220" t="s">
        <v>44</v>
      </c>
      <c r="C220" t="s">
        <v>45</v>
      </c>
      <c r="D220" s="13" t="s">
        <v>591</v>
      </c>
      <c r="E220" t="s">
        <v>47</v>
      </c>
      <c r="F220" t="s">
        <v>48</v>
      </c>
      <c r="G220" s="9">
        <v>33500000</v>
      </c>
      <c r="H220" s="9">
        <v>0</v>
      </c>
      <c r="I220" s="11">
        <v>0</v>
      </c>
      <c r="J220" t="s">
        <v>49</v>
      </c>
      <c r="K220" s="13" t="s">
        <v>592</v>
      </c>
      <c r="L220" s="15" t="s">
        <v>260</v>
      </c>
    </row>
    <row r="221" spans="1:12" ht="27">
      <c r="A221" s="4" t="s">
        <v>593</v>
      </c>
      <c r="B221" t="s">
        <v>44</v>
      </c>
      <c r="C221" t="s">
        <v>45</v>
      </c>
      <c r="D221" s="13" t="s">
        <v>594</v>
      </c>
      <c r="E221" t="s">
        <v>47</v>
      </c>
      <c r="F221" t="s">
        <v>48</v>
      </c>
      <c r="G221" s="9">
        <v>22000000</v>
      </c>
      <c r="H221" s="9">
        <v>0</v>
      </c>
      <c r="I221" s="11">
        <v>0</v>
      </c>
      <c r="J221" t="s">
        <v>49</v>
      </c>
      <c r="K221" s="13" t="s">
        <v>595</v>
      </c>
      <c r="L221" s="15" t="s">
        <v>260</v>
      </c>
    </row>
    <row r="222" spans="1:12" ht="27">
      <c r="A222" s="4" t="s">
        <v>596</v>
      </c>
      <c r="B222" t="s">
        <v>44</v>
      </c>
      <c r="C222" t="s">
        <v>45</v>
      </c>
      <c r="D222" s="13" t="s">
        <v>597</v>
      </c>
      <c r="E222" t="s">
        <v>47</v>
      </c>
      <c r="F222" t="s">
        <v>48</v>
      </c>
      <c r="G222" s="9">
        <v>44000000</v>
      </c>
      <c r="H222" s="9">
        <v>0</v>
      </c>
      <c r="I222" s="11">
        <v>0</v>
      </c>
      <c r="J222" t="s">
        <v>49</v>
      </c>
      <c r="K222" s="13" t="s">
        <v>598</v>
      </c>
      <c r="L222" s="15" t="s">
        <v>171</v>
      </c>
    </row>
    <row r="223" spans="1:12" ht="27">
      <c r="A223" s="4" t="s">
        <v>599</v>
      </c>
      <c r="B223" t="s">
        <v>44</v>
      </c>
      <c r="C223" t="s">
        <v>45</v>
      </c>
      <c r="D223" s="13" t="s">
        <v>600</v>
      </c>
      <c r="E223" t="s">
        <v>47</v>
      </c>
      <c r="F223" t="s">
        <v>48</v>
      </c>
      <c r="G223" s="9">
        <v>71993000</v>
      </c>
      <c r="H223" s="9">
        <v>0</v>
      </c>
      <c r="I223" s="11">
        <v>0</v>
      </c>
      <c r="J223" t="s">
        <v>49</v>
      </c>
      <c r="K223" s="13" t="s">
        <v>601</v>
      </c>
      <c r="L223" s="15" t="s">
        <v>350</v>
      </c>
    </row>
    <row r="224" spans="1:12" ht="27">
      <c r="A224" s="4" t="s">
        <v>602</v>
      </c>
      <c r="B224" t="s">
        <v>44</v>
      </c>
      <c r="C224" t="s">
        <v>45</v>
      </c>
      <c r="D224" s="13" t="s">
        <v>199</v>
      </c>
      <c r="E224" t="s">
        <v>47</v>
      </c>
      <c r="F224" t="s">
        <v>48</v>
      </c>
      <c r="G224" s="9">
        <v>49920000</v>
      </c>
      <c r="H224" s="9">
        <v>0</v>
      </c>
      <c r="I224" s="11">
        <v>0</v>
      </c>
      <c r="J224" t="s">
        <v>49</v>
      </c>
      <c r="K224" s="13" t="s">
        <v>603</v>
      </c>
      <c r="L224" s="15" t="s">
        <v>260</v>
      </c>
    </row>
    <row r="225" spans="1:12" ht="27">
      <c r="A225" s="4" t="s">
        <v>604</v>
      </c>
      <c r="B225" t="s">
        <v>44</v>
      </c>
      <c r="C225" t="s">
        <v>45</v>
      </c>
      <c r="D225" s="13" t="s">
        <v>189</v>
      </c>
      <c r="E225" t="s">
        <v>47</v>
      </c>
      <c r="F225" t="s">
        <v>48</v>
      </c>
      <c r="G225" s="9">
        <v>10880000</v>
      </c>
      <c r="H225" s="9">
        <v>0</v>
      </c>
      <c r="I225" s="11">
        <v>0</v>
      </c>
      <c r="J225" t="s">
        <v>49</v>
      </c>
      <c r="K225" s="13" t="s">
        <v>605</v>
      </c>
      <c r="L225" s="15" t="s">
        <v>260</v>
      </c>
    </row>
    <row r="226" spans="1:12" ht="27">
      <c r="A226" s="4" t="s">
        <v>609</v>
      </c>
      <c r="B226" t="s">
        <v>44</v>
      </c>
      <c r="C226" t="s">
        <v>45</v>
      </c>
      <c r="D226" s="13" t="s">
        <v>610</v>
      </c>
      <c r="E226" t="s">
        <v>47</v>
      </c>
      <c r="F226" t="s">
        <v>48</v>
      </c>
      <c r="G226" s="9">
        <v>110000000</v>
      </c>
      <c r="H226" s="9">
        <v>0</v>
      </c>
      <c r="I226" s="11">
        <v>0</v>
      </c>
      <c r="J226" t="s">
        <v>49</v>
      </c>
      <c r="K226" s="13" t="s">
        <v>611</v>
      </c>
      <c r="L226" s="15" t="s">
        <v>350</v>
      </c>
    </row>
    <row r="227" spans="1:12" ht="27">
      <c r="A227" s="4" t="s">
        <v>612</v>
      </c>
      <c r="B227" t="s">
        <v>44</v>
      </c>
      <c r="C227" t="s">
        <v>45</v>
      </c>
      <c r="D227" s="13" t="s">
        <v>613</v>
      </c>
      <c r="E227" t="s">
        <v>47</v>
      </c>
      <c r="F227" t="s">
        <v>48</v>
      </c>
      <c r="G227" s="9">
        <v>33500000</v>
      </c>
      <c r="H227" s="9">
        <v>0</v>
      </c>
      <c r="I227" s="11">
        <v>0</v>
      </c>
      <c r="J227" t="s">
        <v>49</v>
      </c>
      <c r="K227" s="13" t="s">
        <v>592</v>
      </c>
      <c r="L227" s="15" t="s">
        <v>260</v>
      </c>
    </row>
    <row r="228" spans="1:12" ht="27">
      <c r="A228" s="4" t="s">
        <v>614</v>
      </c>
      <c r="B228" t="s">
        <v>44</v>
      </c>
      <c r="C228" t="s">
        <v>45</v>
      </c>
      <c r="D228" s="13" t="s">
        <v>615</v>
      </c>
      <c r="E228" t="s">
        <v>47</v>
      </c>
      <c r="F228" t="s">
        <v>48</v>
      </c>
      <c r="G228" s="9">
        <v>12500000</v>
      </c>
      <c r="H228" s="9">
        <v>0</v>
      </c>
      <c r="I228" s="11">
        <v>0</v>
      </c>
      <c r="J228" t="s">
        <v>49</v>
      </c>
      <c r="K228" s="13" t="s">
        <v>616</v>
      </c>
      <c r="L228" s="15" t="s">
        <v>260</v>
      </c>
    </row>
    <row r="229" spans="1:12" ht="27">
      <c r="A229" s="4" t="s">
        <v>617</v>
      </c>
      <c r="B229" t="s">
        <v>44</v>
      </c>
      <c r="C229" t="s">
        <v>45</v>
      </c>
      <c r="D229" s="13" t="s">
        <v>618</v>
      </c>
      <c r="E229" t="s">
        <v>47</v>
      </c>
      <c r="F229" t="s">
        <v>48</v>
      </c>
      <c r="G229" s="9">
        <v>74000000</v>
      </c>
      <c r="H229" s="9">
        <v>0</v>
      </c>
      <c r="I229" s="11">
        <v>0</v>
      </c>
      <c r="J229" t="s">
        <v>49</v>
      </c>
      <c r="K229" s="13" t="s">
        <v>619</v>
      </c>
      <c r="L229" s="15" t="s">
        <v>350</v>
      </c>
    </row>
    <row r="230" spans="1:12" ht="27">
      <c r="A230" s="4" t="s">
        <v>620</v>
      </c>
      <c r="B230" t="s">
        <v>44</v>
      </c>
      <c r="C230" t="s">
        <v>45</v>
      </c>
      <c r="D230" s="13" t="s">
        <v>621</v>
      </c>
      <c r="E230" t="s">
        <v>47</v>
      </c>
      <c r="F230" t="s">
        <v>48</v>
      </c>
      <c r="G230" s="9">
        <v>16000000</v>
      </c>
      <c r="H230" s="9">
        <v>0</v>
      </c>
      <c r="I230" s="11">
        <v>0</v>
      </c>
      <c r="J230" t="s">
        <v>49</v>
      </c>
      <c r="K230" s="13" t="s">
        <v>622</v>
      </c>
      <c r="L230" s="15" t="s">
        <v>260</v>
      </c>
    </row>
    <row r="231" spans="1:12" ht="27">
      <c r="A231" s="4" t="s">
        <v>623</v>
      </c>
      <c r="B231" t="s">
        <v>44</v>
      </c>
      <c r="C231" t="s">
        <v>45</v>
      </c>
      <c r="D231" s="13" t="s">
        <v>624</v>
      </c>
      <c r="E231" t="s">
        <v>47</v>
      </c>
      <c r="F231" t="s">
        <v>48</v>
      </c>
      <c r="G231" s="9">
        <v>35000000</v>
      </c>
      <c r="H231" s="9">
        <v>0</v>
      </c>
      <c r="I231" s="11">
        <v>0</v>
      </c>
      <c r="J231" t="s">
        <v>49</v>
      </c>
      <c r="K231" s="13" t="s">
        <v>625</v>
      </c>
      <c r="L231" s="15" t="s">
        <v>260</v>
      </c>
    </row>
    <row r="232" spans="1:12" ht="27">
      <c r="A232" s="4" t="s">
        <v>626</v>
      </c>
      <c r="B232" t="s">
        <v>44</v>
      </c>
      <c r="C232" t="s">
        <v>45</v>
      </c>
      <c r="D232" s="13" t="s">
        <v>627</v>
      </c>
      <c r="E232" t="s">
        <v>47</v>
      </c>
      <c r="F232" t="s">
        <v>48</v>
      </c>
      <c r="G232" s="9">
        <v>82500000</v>
      </c>
      <c r="H232" s="9">
        <v>0</v>
      </c>
      <c r="I232" s="11">
        <v>0</v>
      </c>
      <c r="J232" t="s">
        <v>49</v>
      </c>
      <c r="K232" s="13" t="s">
        <v>628</v>
      </c>
      <c r="L232" s="15" t="s">
        <v>350</v>
      </c>
    </row>
    <row r="233" spans="1:12" ht="27">
      <c r="A233" s="4" t="s">
        <v>629</v>
      </c>
      <c r="B233" t="s">
        <v>44</v>
      </c>
      <c r="C233" t="s">
        <v>45</v>
      </c>
      <c r="D233" s="13" t="s">
        <v>630</v>
      </c>
      <c r="E233" t="s">
        <v>47</v>
      </c>
      <c r="F233" t="s">
        <v>48</v>
      </c>
      <c r="G233" s="9">
        <v>35600000</v>
      </c>
      <c r="H233" s="9">
        <v>0</v>
      </c>
      <c r="I233" s="11">
        <v>0</v>
      </c>
      <c r="J233" t="s">
        <v>49</v>
      </c>
      <c r="K233" s="13" t="s">
        <v>631</v>
      </c>
      <c r="L233" s="15" t="s">
        <v>260</v>
      </c>
    </row>
    <row r="234" spans="1:12" ht="27">
      <c r="A234" s="4" t="s">
        <v>632</v>
      </c>
      <c r="B234" t="s">
        <v>44</v>
      </c>
      <c r="C234" t="s">
        <v>45</v>
      </c>
      <c r="D234" s="13" t="s">
        <v>633</v>
      </c>
      <c r="E234" t="s">
        <v>47</v>
      </c>
      <c r="F234" t="s">
        <v>48</v>
      </c>
      <c r="G234" s="9">
        <v>215730000</v>
      </c>
      <c r="H234" s="9">
        <v>0</v>
      </c>
      <c r="I234" s="11">
        <v>0</v>
      </c>
      <c r="J234" t="s">
        <v>49</v>
      </c>
      <c r="K234" s="13" t="s">
        <v>634</v>
      </c>
      <c r="L234" s="15" t="s">
        <v>468</v>
      </c>
    </row>
    <row r="235" spans="1:12" ht="27">
      <c r="A235" s="4" t="s">
        <v>635</v>
      </c>
      <c r="B235" t="s">
        <v>44</v>
      </c>
      <c r="C235" t="s">
        <v>45</v>
      </c>
      <c r="D235" s="13" t="s">
        <v>636</v>
      </c>
      <c r="E235" t="s">
        <v>47</v>
      </c>
      <c r="F235" t="s">
        <v>48</v>
      </c>
      <c r="G235" s="9">
        <v>10000000</v>
      </c>
      <c r="H235" s="9">
        <v>0</v>
      </c>
      <c r="I235" s="11">
        <v>0</v>
      </c>
      <c r="J235" t="s">
        <v>49</v>
      </c>
      <c r="K235" s="13" t="s">
        <v>637</v>
      </c>
      <c r="L235" s="15" t="s">
        <v>260</v>
      </c>
    </row>
    <row r="236" spans="1:12" ht="27">
      <c r="A236" s="4" t="s">
        <v>638</v>
      </c>
      <c r="B236" t="s">
        <v>44</v>
      </c>
      <c r="C236" t="s">
        <v>45</v>
      </c>
      <c r="D236" s="13" t="s">
        <v>639</v>
      </c>
      <c r="E236" t="s">
        <v>47</v>
      </c>
      <c r="F236" t="s">
        <v>48</v>
      </c>
      <c r="G236" s="9">
        <v>12410000</v>
      </c>
      <c r="H236" s="9">
        <v>0</v>
      </c>
      <c r="I236" s="11">
        <v>0</v>
      </c>
      <c r="J236" t="s">
        <v>49</v>
      </c>
      <c r="K236" s="13" t="s">
        <v>640</v>
      </c>
      <c r="L236" s="15" t="s">
        <v>260</v>
      </c>
    </row>
    <row r="237" spans="1:12" ht="27">
      <c r="A237" s="4" t="s">
        <v>641</v>
      </c>
      <c r="B237" t="s">
        <v>44</v>
      </c>
      <c r="C237" t="s">
        <v>45</v>
      </c>
      <c r="D237" s="13" t="s">
        <v>642</v>
      </c>
      <c r="E237" t="s">
        <v>47</v>
      </c>
      <c r="F237" t="s">
        <v>48</v>
      </c>
      <c r="G237" s="9">
        <v>2700000</v>
      </c>
      <c r="H237" s="9">
        <v>0</v>
      </c>
      <c r="I237" s="11">
        <v>0</v>
      </c>
      <c r="J237" t="s">
        <v>49</v>
      </c>
      <c r="K237" s="13" t="s">
        <v>643</v>
      </c>
      <c r="L237" s="15" t="s">
        <v>260</v>
      </c>
    </row>
    <row r="238" spans="1:12" ht="27">
      <c r="A238" s="4" t="s">
        <v>644</v>
      </c>
      <c r="B238" t="s">
        <v>44</v>
      </c>
      <c r="C238" t="s">
        <v>45</v>
      </c>
      <c r="D238" s="13" t="s">
        <v>645</v>
      </c>
      <c r="E238" t="s">
        <v>47</v>
      </c>
      <c r="F238" t="s">
        <v>48</v>
      </c>
      <c r="G238" s="9">
        <v>3450000</v>
      </c>
      <c r="H238" s="9">
        <v>0</v>
      </c>
      <c r="I238" s="11">
        <v>0</v>
      </c>
      <c r="J238" t="s">
        <v>49</v>
      </c>
      <c r="K238" s="13" t="s">
        <v>646</v>
      </c>
      <c r="L238" s="15" t="s">
        <v>260</v>
      </c>
    </row>
    <row r="239" spans="1:12" ht="40.5">
      <c r="A239" s="4" t="s">
        <v>651</v>
      </c>
      <c r="B239" t="s">
        <v>44</v>
      </c>
      <c r="C239" t="s">
        <v>45</v>
      </c>
      <c r="D239" s="13" t="s">
        <v>652</v>
      </c>
      <c r="E239" t="s">
        <v>47</v>
      </c>
      <c r="F239" t="s">
        <v>48</v>
      </c>
      <c r="G239" s="9">
        <v>1934345000</v>
      </c>
      <c r="H239" s="9">
        <v>0</v>
      </c>
      <c r="I239" s="11">
        <v>0</v>
      </c>
      <c r="J239" t="s">
        <v>466</v>
      </c>
      <c r="K239" s="13" t="s">
        <v>653</v>
      </c>
      <c r="L239" s="15" t="s">
        <v>468</v>
      </c>
    </row>
    <row r="240" spans="1:12" ht="40.5">
      <c r="A240" s="4" t="s">
        <v>654</v>
      </c>
      <c r="B240" t="s">
        <v>44</v>
      </c>
      <c r="C240" t="s">
        <v>45</v>
      </c>
      <c r="D240" s="13" t="s">
        <v>655</v>
      </c>
      <c r="E240" t="s">
        <v>47</v>
      </c>
      <c r="F240" t="s">
        <v>48</v>
      </c>
      <c r="G240" s="9">
        <v>42500000</v>
      </c>
      <c r="H240" s="9">
        <v>0</v>
      </c>
      <c r="I240" s="11">
        <v>0</v>
      </c>
      <c r="J240" t="s">
        <v>49</v>
      </c>
      <c r="K240" s="13" t="s">
        <v>656</v>
      </c>
      <c r="L240" s="15" t="s">
        <v>350</v>
      </c>
    </row>
    <row r="241" spans="1:12" ht="40.5">
      <c r="A241" s="4" t="s">
        <v>657</v>
      </c>
      <c r="B241" t="s">
        <v>44</v>
      </c>
      <c r="C241" t="s">
        <v>45</v>
      </c>
      <c r="D241" s="13" t="s">
        <v>658</v>
      </c>
      <c r="E241" t="s">
        <v>47</v>
      </c>
      <c r="F241" t="s">
        <v>48</v>
      </c>
      <c r="G241" s="9">
        <v>261000</v>
      </c>
      <c r="H241" s="9">
        <v>0</v>
      </c>
      <c r="I241" s="11">
        <v>0</v>
      </c>
      <c r="J241" t="s">
        <v>49</v>
      </c>
      <c r="K241" s="13" t="s">
        <v>659</v>
      </c>
      <c r="L241" s="15" t="s">
        <v>260</v>
      </c>
    </row>
    <row r="242" spans="1:12" ht="40.5">
      <c r="A242" s="4" t="s">
        <v>660</v>
      </c>
      <c r="B242" t="s">
        <v>44</v>
      </c>
      <c r="C242" t="s">
        <v>45</v>
      </c>
      <c r="D242" s="13" t="s">
        <v>661</v>
      </c>
      <c r="E242" t="s">
        <v>47</v>
      </c>
      <c r="F242" t="s">
        <v>48</v>
      </c>
      <c r="G242" s="9">
        <v>3100000</v>
      </c>
      <c r="H242" s="9">
        <v>0</v>
      </c>
      <c r="I242" s="11">
        <v>0</v>
      </c>
      <c r="J242" t="s">
        <v>49</v>
      </c>
      <c r="K242" s="13" t="s">
        <v>662</v>
      </c>
      <c r="L242" s="15" t="s">
        <v>260</v>
      </c>
    </row>
    <row r="243" spans="1:12" ht="40.5">
      <c r="A243" s="4" t="s">
        <v>663</v>
      </c>
      <c r="B243" t="s">
        <v>44</v>
      </c>
      <c r="C243" t="s">
        <v>45</v>
      </c>
      <c r="D243" s="13" t="s">
        <v>664</v>
      </c>
      <c r="E243" t="s">
        <v>47</v>
      </c>
      <c r="F243" t="s">
        <v>48</v>
      </c>
      <c r="G243" s="9">
        <v>1500000</v>
      </c>
      <c r="H243" s="9">
        <v>0</v>
      </c>
      <c r="I243" s="11">
        <v>0</v>
      </c>
      <c r="J243" t="s">
        <v>49</v>
      </c>
      <c r="K243" s="13" t="s">
        <v>665</v>
      </c>
      <c r="L243" s="15" t="s">
        <v>260</v>
      </c>
    </row>
    <row r="244" spans="1:12" ht="40.5">
      <c r="A244" s="4" t="s">
        <v>666</v>
      </c>
      <c r="B244" t="s">
        <v>44</v>
      </c>
      <c r="C244" t="s">
        <v>45</v>
      </c>
      <c r="D244" s="13" t="s">
        <v>667</v>
      </c>
      <c r="E244" t="s">
        <v>47</v>
      </c>
      <c r="F244" t="s">
        <v>48</v>
      </c>
      <c r="G244" s="9">
        <v>1500000</v>
      </c>
      <c r="H244" s="9">
        <v>0</v>
      </c>
      <c r="I244" s="11">
        <v>0</v>
      </c>
      <c r="J244" t="s">
        <v>49</v>
      </c>
      <c r="K244" s="13" t="s">
        <v>668</v>
      </c>
      <c r="L244" s="15" t="s">
        <v>63</v>
      </c>
    </row>
    <row r="245" spans="1:12" ht="40.5">
      <c r="A245" s="4" t="s">
        <v>669</v>
      </c>
      <c r="B245" t="s">
        <v>44</v>
      </c>
      <c r="C245" t="s">
        <v>45</v>
      </c>
      <c r="D245" s="13" t="s">
        <v>670</v>
      </c>
      <c r="E245" t="s">
        <v>47</v>
      </c>
      <c r="F245" t="s">
        <v>48</v>
      </c>
      <c r="G245" s="9">
        <v>1950000</v>
      </c>
      <c r="H245" s="9">
        <v>0</v>
      </c>
      <c r="I245" s="11">
        <v>0</v>
      </c>
      <c r="J245" t="s">
        <v>49</v>
      </c>
      <c r="K245" s="13" t="s">
        <v>671</v>
      </c>
      <c r="L245" s="15" t="s">
        <v>260</v>
      </c>
    </row>
    <row r="246" spans="1:12" ht="40.5">
      <c r="A246" s="4" t="s">
        <v>672</v>
      </c>
      <c r="B246" t="s">
        <v>44</v>
      </c>
      <c r="C246" t="s">
        <v>45</v>
      </c>
      <c r="D246" s="13" t="s">
        <v>673</v>
      </c>
      <c r="E246" t="s">
        <v>47</v>
      </c>
      <c r="F246" t="s">
        <v>48</v>
      </c>
      <c r="G246" s="9">
        <v>450000</v>
      </c>
      <c r="H246" s="9">
        <v>0</v>
      </c>
      <c r="I246" s="11">
        <v>0</v>
      </c>
      <c r="J246" t="s">
        <v>49</v>
      </c>
      <c r="K246" s="13" t="s">
        <v>674</v>
      </c>
      <c r="L246" s="15" t="s">
        <v>260</v>
      </c>
    </row>
    <row r="247" spans="1:12" ht="40.5">
      <c r="A247" s="4" t="s">
        <v>675</v>
      </c>
      <c r="B247" t="s">
        <v>44</v>
      </c>
      <c r="C247" t="s">
        <v>45</v>
      </c>
      <c r="D247" s="13" t="s">
        <v>75</v>
      </c>
      <c r="E247" t="s">
        <v>47</v>
      </c>
      <c r="F247" t="s">
        <v>48</v>
      </c>
      <c r="G247" s="9">
        <v>3750000</v>
      </c>
      <c r="H247" s="9">
        <v>0</v>
      </c>
      <c r="I247" s="11">
        <v>0</v>
      </c>
      <c r="J247" t="s">
        <v>49</v>
      </c>
      <c r="K247" s="13" t="s">
        <v>676</v>
      </c>
      <c r="L247" s="15" t="s">
        <v>260</v>
      </c>
    </row>
    <row r="248" spans="1:12" ht="40.5">
      <c r="A248" s="4" t="s">
        <v>677</v>
      </c>
      <c r="B248" t="s">
        <v>44</v>
      </c>
      <c r="C248" t="s">
        <v>45</v>
      </c>
      <c r="D248" s="13" t="s">
        <v>67</v>
      </c>
      <c r="E248" t="s">
        <v>47</v>
      </c>
      <c r="F248" t="s">
        <v>48</v>
      </c>
      <c r="G248" s="9">
        <v>3250000</v>
      </c>
      <c r="H248" s="9">
        <v>0</v>
      </c>
      <c r="I248" s="11">
        <v>0</v>
      </c>
      <c r="J248" t="s">
        <v>49</v>
      </c>
      <c r="K248" s="13" t="s">
        <v>678</v>
      </c>
      <c r="L248" s="15" t="s">
        <v>260</v>
      </c>
    </row>
    <row r="249" spans="1:12" ht="40.5">
      <c r="A249" s="4" t="s">
        <v>679</v>
      </c>
      <c r="B249" t="s">
        <v>44</v>
      </c>
      <c r="C249" t="s">
        <v>45</v>
      </c>
      <c r="D249" s="13" t="s">
        <v>680</v>
      </c>
      <c r="E249" t="s">
        <v>47</v>
      </c>
      <c r="F249" t="s">
        <v>48</v>
      </c>
      <c r="G249" s="9">
        <v>1250000</v>
      </c>
      <c r="H249" s="9">
        <v>0</v>
      </c>
      <c r="I249" s="11">
        <v>0</v>
      </c>
      <c r="J249" t="s">
        <v>49</v>
      </c>
      <c r="K249" s="13" t="s">
        <v>681</v>
      </c>
      <c r="L249" s="15" t="s">
        <v>260</v>
      </c>
    </row>
    <row r="250" spans="1:12" ht="40.5">
      <c r="A250" s="4" t="s">
        <v>682</v>
      </c>
      <c r="B250" t="s">
        <v>44</v>
      </c>
      <c r="C250" t="s">
        <v>45</v>
      </c>
      <c r="D250" s="13" t="s">
        <v>683</v>
      </c>
      <c r="E250" t="s">
        <v>47</v>
      </c>
      <c r="F250" t="s">
        <v>48</v>
      </c>
      <c r="G250" s="9">
        <v>13440000</v>
      </c>
      <c r="H250" s="9">
        <v>0</v>
      </c>
      <c r="I250" s="11">
        <v>0</v>
      </c>
      <c r="J250" t="s">
        <v>49</v>
      </c>
      <c r="K250" s="13" t="s">
        <v>684</v>
      </c>
      <c r="L250" s="15" t="s">
        <v>350</v>
      </c>
    </row>
    <row r="251" spans="1:12" ht="40.5">
      <c r="A251" s="4" t="s">
        <v>685</v>
      </c>
      <c r="B251" t="s">
        <v>44</v>
      </c>
      <c r="C251" t="s">
        <v>45</v>
      </c>
      <c r="D251" s="13" t="s">
        <v>686</v>
      </c>
      <c r="E251" t="s">
        <v>47</v>
      </c>
      <c r="F251" t="s">
        <v>48</v>
      </c>
      <c r="G251" s="9">
        <v>11520000</v>
      </c>
      <c r="H251" s="9">
        <v>0</v>
      </c>
      <c r="I251" s="11">
        <v>0</v>
      </c>
      <c r="J251" t="s">
        <v>49</v>
      </c>
      <c r="K251" s="13" t="s">
        <v>687</v>
      </c>
      <c r="L251" s="15" t="s">
        <v>350</v>
      </c>
    </row>
    <row r="252" spans="1:12" ht="40.5">
      <c r="A252" s="4" t="s">
        <v>688</v>
      </c>
      <c r="B252" t="s">
        <v>44</v>
      </c>
      <c r="C252" t="s">
        <v>45</v>
      </c>
      <c r="D252" s="13" t="s">
        <v>689</v>
      </c>
      <c r="E252" t="s">
        <v>47</v>
      </c>
      <c r="F252" t="s">
        <v>48</v>
      </c>
      <c r="G252" s="9">
        <v>8000000</v>
      </c>
      <c r="H252" s="9">
        <v>0</v>
      </c>
      <c r="I252" s="11">
        <v>0</v>
      </c>
      <c r="J252" t="s">
        <v>49</v>
      </c>
      <c r="K252" s="13" t="s">
        <v>690</v>
      </c>
      <c r="L252" s="15" t="s">
        <v>350</v>
      </c>
    </row>
    <row r="253" spans="1:12" ht="40.5">
      <c r="A253" s="4" t="s">
        <v>693</v>
      </c>
      <c r="B253" t="s">
        <v>44</v>
      </c>
      <c r="C253" t="s">
        <v>45</v>
      </c>
      <c r="D253" s="13" t="s">
        <v>694</v>
      </c>
      <c r="E253" t="s">
        <v>47</v>
      </c>
      <c r="F253" t="s">
        <v>48</v>
      </c>
      <c r="G253" s="9">
        <v>18500000</v>
      </c>
      <c r="H253" s="9">
        <v>0</v>
      </c>
      <c r="I253" s="11">
        <v>0</v>
      </c>
      <c r="J253" t="s">
        <v>49</v>
      </c>
      <c r="K253" s="13" t="s">
        <v>695</v>
      </c>
      <c r="L253" s="15" t="s">
        <v>350</v>
      </c>
    </row>
    <row r="254" spans="1:12" ht="40.5">
      <c r="A254" s="4" t="s">
        <v>696</v>
      </c>
      <c r="B254" t="s">
        <v>44</v>
      </c>
      <c r="C254" t="s">
        <v>45</v>
      </c>
      <c r="D254" s="13" t="s">
        <v>697</v>
      </c>
      <c r="E254" t="s">
        <v>47</v>
      </c>
      <c r="F254" t="s">
        <v>48</v>
      </c>
      <c r="G254" s="9">
        <v>39000000</v>
      </c>
      <c r="H254" s="9">
        <v>0</v>
      </c>
      <c r="I254" s="11">
        <v>0</v>
      </c>
      <c r="J254" t="s">
        <v>49</v>
      </c>
      <c r="K254" s="13" t="s">
        <v>698</v>
      </c>
      <c r="L254" s="15" t="s">
        <v>350</v>
      </c>
    </row>
    <row r="255" spans="1:12" ht="40.5">
      <c r="A255" s="4" t="s">
        <v>699</v>
      </c>
      <c r="B255" t="s">
        <v>44</v>
      </c>
      <c r="C255" t="s">
        <v>45</v>
      </c>
      <c r="D255" s="13" t="s">
        <v>624</v>
      </c>
      <c r="E255" t="s">
        <v>47</v>
      </c>
      <c r="F255" t="s">
        <v>48</v>
      </c>
      <c r="G255" s="9">
        <v>35000000</v>
      </c>
      <c r="H255" s="9">
        <v>0</v>
      </c>
      <c r="I255" s="11">
        <v>0</v>
      </c>
      <c r="J255" t="s">
        <v>49</v>
      </c>
      <c r="K255" s="13" t="s">
        <v>700</v>
      </c>
      <c r="L255" s="15" t="s">
        <v>350</v>
      </c>
    </row>
    <row r="256" spans="1:12" ht="40.5">
      <c r="A256" s="4" t="s">
        <v>702</v>
      </c>
      <c r="B256" t="s">
        <v>44</v>
      </c>
      <c r="C256" t="s">
        <v>45</v>
      </c>
      <c r="D256" s="13" t="s">
        <v>208</v>
      </c>
      <c r="E256" t="s">
        <v>47</v>
      </c>
      <c r="F256" t="s">
        <v>48</v>
      </c>
      <c r="G256" s="9">
        <v>204000000</v>
      </c>
      <c r="H256" s="9">
        <v>0</v>
      </c>
      <c r="I256" s="11">
        <v>0</v>
      </c>
      <c r="J256" t="s">
        <v>466</v>
      </c>
      <c r="K256" s="13" t="s">
        <v>703</v>
      </c>
      <c r="L256" s="15" t="s">
        <v>468</v>
      </c>
    </row>
    <row r="257" spans="1:12" ht="40.5">
      <c r="A257" s="4" t="s">
        <v>704</v>
      </c>
      <c r="B257" t="s">
        <v>44</v>
      </c>
      <c r="C257" t="s">
        <v>45</v>
      </c>
      <c r="D257" s="13" t="s">
        <v>208</v>
      </c>
      <c r="E257" t="s">
        <v>47</v>
      </c>
      <c r="F257" t="s">
        <v>48</v>
      </c>
      <c r="G257" s="9">
        <v>52800000</v>
      </c>
      <c r="H257" s="9">
        <v>0</v>
      </c>
      <c r="I257" s="11">
        <v>0</v>
      </c>
      <c r="J257" t="s">
        <v>49</v>
      </c>
      <c r="K257" s="13" t="s">
        <v>705</v>
      </c>
      <c r="L257" s="15" t="s">
        <v>350</v>
      </c>
    </row>
    <row r="258" spans="1:12" ht="40.5">
      <c r="A258" s="6" t="s">
        <v>706</v>
      </c>
      <c r="B258" s="7" t="s">
        <v>44</v>
      </c>
      <c r="C258" s="7" t="s">
        <v>45</v>
      </c>
      <c r="D258" s="14" t="s">
        <v>92</v>
      </c>
      <c r="E258" s="7" t="s">
        <v>47</v>
      </c>
      <c r="F258" s="7" t="s">
        <v>48</v>
      </c>
      <c r="G258" s="10">
        <v>32320000</v>
      </c>
      <c r="H258" s="10">
        <v>0</v>
      </c>
      <c r="I258" s="12">
        <v>0</v>
      </c>
      <c r="J258" s="7" t="s">
        <v>49</v>
      </c>
      <c r="K258" s="14" t="s">
        <v>707</v>
      </c>
      <c r="L258" s="16" t="s">
        <v>260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Perbandingan</vt:lpstr>
      <vt:lpstr>Perubahan</vt:lpstr>
      <vt:lpstr>Data_05_Agu</vt:lpstr>
      <vt:lpstr>Data_12_Agu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UKPBJ -</cp:lastModifiedBy>
  <dcterms:modified xsi:type="dcterms:W3CDTF">2026-08-18T06:08:00Z</dcterms:modified>
</cp:coreProperties>
</file>