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4C4D699-31D1-4C6C-95A4-2834A2071A71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Ringkasan" sheetId="1" r:id="rId1"/>
    <sheet name="Perbandingan" sheetId="2" r:id="rId2"/>
    <sheet name="Perubahan" sheetId="3" r:id="rId3"/>
    <sheet name="Data_05_Agu" sheetId="4" r:id="rId4"/>
    <sheet name="Data_12_Agu" sheetId="5" r:id="rId5"/>
  </sheets>
  <definedNames>
    <definedName name="_xlnm._FilterDatabase" localSheetId="2" hidden="1">Perubahan!$A$3:$X$4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3" l="1"/>
  <c r="M4" i="3"/>
  <c r="J4" i="3"/>
  <c r="W25" i="2"/>
  <c r="P25" i="2"/>
  <c r="M25" i="2"/>
  <c r="J25" i="2"/>
  <c r="W24" i="2"/>
  <c r="P24" i="2"/>
  <c r="M24" i="2"/>
  <c r="J24" i="2"/>
  <c r="W23" i="2"/>
  <c r="P23" i="2"/>
  <c r="M23" i="2"/>
  <c r="J23" i="2"/>
  <c r="W22" i="2"/>
  <c r="P22" i="2"/>
  <c r="M22" i="2"/>
  <c r="J22" i="2"/>
  <c r="W21" i="2"/>
  <c r="P21" i="2"/>
  <c r="M21" i="2"/>
  <c r="J21" i="2"/>
  <c r="W20" i="2"/>
  <c r="P20" i="2"/>
  <c r="M20" i="2"/>
  <c r="J20" i="2"/>
  <c r="W19" i="2"/>
  <c r="P19" i="2"/>
  <c r="M19" i="2"/>
  <c r="J19" i="2"/>
  <c r="W18" i="2"/>
  <c r="P18" i="2"/>
  <c r="M18" i="2"/>
  <c r="J18" i="2"/>
  <c r="W17" i="2"/>
  <c r="P17" i="2"/>
  <c r="M17" i="2"/>
  <c r="J17" i="2"/>
  <c r="W16" i="2"/>
  <c r="P16" i="2"/>
  <c r="M16" i="2"/>
  <c r="J16" i="2"/>
  <c r="W15" i="2"/>
  <c r="P15" i="2"/>
  <c r="M15" i="2"/>
  <c r="J15" i="2"/>
  <c r="W14" i="2"/>
  <c r="P14" i="2"/>
  <c r="M14" i="2"/>
  <c r="J14" i="2"/>
  <c r="W13" i="2"/>
  <c r="P13" i="2"/>
  <c r="M13" i="2"/>
  <c r="J13" i="2"/>
  <c r="W12" i="2"/>
  <c r="P12" i="2"/>
  <c r="M12" i="2"/>
  <c r="J12" i="2"/>
  <c r="W11" i="2"/>
  <c r="P11" i="2"/>
  <c r="M11" i="2"/>
  <c r="J11" i="2"/>
  <c r="W10" i="2"/>
  <c r="P10" i="2"/>
  <c r="M10" i="2"/>
  <c r="J10" i="2"/>
  <c r="W9" i="2"/>
  <c r="P9" i="2"/>
  <c r="M9" i="2"/>
  <c r="J9" i="2"/>
  <c r="W8" i="2"/>
  <c r="P8" i="2"/>
  <c r="M8" i="2"/>
  <c r="J8" i="2"/>
  <c r="W7" i="2"/>
  <c r="P7" i="2"/>
  <c r="M7" i="2"/>
  <c r="J7" i="2"/>
  <c r="W6" i="2"/>
  <c r="P6" i="2"/>
  <c r="M6" i="2"/>
  <c r="J6" i="2"/>
  <c r="W5" i="2"/>
  <c r="P5" i="2"/>
  <c r="M5" i="2"/>
  <c r="J5" i="2"/>
  <c r="W4" i="2"/>
  <c r="P4" i="2"/>
  <c r="M4" i="2"/>
  <c r="J4" i="2"/>
  <c r="C8" i="1"/>
  <c r="D8" i="1" s="1"/>
  <c r="B8" i="1"/>
  <c r="D7" i="1"/>
  <c r="D6" i="1"/>
  <c r="D5" i="1"/>
</calcChain>
</file>

<file path=xl/sharedStrings.xml><?xml version="1.0" encoding="utf-8"?>
<sst xmlns="http://schemas.openxmlformats.org/spreadsheetml/2006/main" count="818" uniqueCount="129">
  <si>
    <t>Ringkasan Perbandingan Pengadaan — Balai K3 Bandung</t>
  </si>
  <si>
    <t>Perbandingan data 5 Agustus 2026 dan 12 Agustus 2026 berdasarkan Kode RUP</t>
  </si>
  <si>
    <t>Indikator</t>
  </si>
  <si>
    <t>5 Agustus 2026</t>
  </si>
  <si>
    <t>12 Agustus 2026</t>
  </si>
  <si>
    <t>Perubahan</t>
  </si>
  <si>
    <t>Jumlah Paket</t>
  </si>
  <si>
    <t>Total Pagu (Rp)</t>
  </si>
  <si>
    <t>Total Realisasi (Rp)</t>
  </si>
  <si>
    <t>Realisasi terhadap Pagu</t>
  </si>
  <si>
    <t>Klasifikasi Paket</t>
  </si>
  <si>
    <t>Jumlah</t>
  </si>
  <si>
    <t>Paket Baru</t>
  </si>
  <si>
    <t>Tidak Muncul</t>
  </si>
  <si>
    <t>Berubah</t>
  </si>
  <si>
    <t>Tetap</t>
  </si>
  <si>
    <t>Temuan Utama</t>
  </si>
  <si>
    <t>• Jumlah paket tetap 22 paket dan total pagu tetap Rp3.352.889.000.
• Total realisasi turun Rp126.677.540, dari Rp1.420.315.433 menjadi Rp1.293.637.893.
• Penurunan seluruhnya berasal dari Kode RUP 63429693 — Belanja Pemeliharaan Gedung dan Bangunan.
• Paket tersebut berubah dari COMPLETED menjadi BELUM REALISASI, dengan realisasi Rp126.677.540 (60%) menjadi Rp0 (0%).</t>
  </si>
  <si>
    <t>Perbandingan Ringkasan Pengadaan — Balai K3 Bandung | 5 vs 12 Agustus 2026</t>
  </si>
  <si>
    <t>Kode RUP</t>
  </si>
  <si>
    <t>Satuan Kerja</t>
  </si>
  <si>
    <t>Nama PPK</t>
  </si>
  <si>
    <t>Nama Paket</t>
  </si>
  <si>
    <t>Metode</t>
  </si>
  <si>
    <t>Status 05 Agu</t>
  </si>
  <si>
    <t>Status 12 Agu</t>
  </si>
  <si>
    <t>Pagu 05 Agu (Rp)</t>
  </si>
  <si>
    <t>Pagu 12 Agu (Rp)</t>
  </si>
  <si>
    <t>Δ Pagu (Rp)</t>
  </si>
  <si>
    <t>Realisasi 05 Agu (Rp)</t>
  </si>
  <si>
    <t>Realisasi 12 Agu (Rp)</t>
  </si>
  <si>
    <t>Δ Realisasi (Rp)</t>
  </si>
  <si>
    <t>Realisasi 05 Agu</t>
  </si>
  <si>
    <t>Realisasi 12 Agu</t>
  </si>
  <si>
    <t>Δ Poin Realisasi</t>
  </si>
  <si>
    <t>Kurasi 05 Agu</t>
  </si>
  <si>
    <t>Kurasi 12 Agu</t>
  </si>
  <si>
    <t>Catatan Kurasi 05 Agu</t>
  </si>
  <si>
    <t>Catatan Kurasi 12 Agu</t>
  </si>
  <si>
    <t>Rekomendasi 05 Agu</t>
  </si>
  <si>
    <t>Rekomendasi 12 Agu</t>
  </si>
  <si>
    <t>Jenis Perubahan</t>
  </si>
  <si>
    <t>Rincian Perubahan</t>
  </si>
  <si>
    <t>63147424</t>
  </si>
  <si>
    <t>Balai Keselamatan dan Kesehatan Kerja Bandung</t>
  </si>
  <si>
    <t>Dian Febiyanti</t>
  </si>
  <si>
    <t>Belanja Barang Non Operasional Lainnya</t>
  </si>
  <si>
    <t>Pengadaan Langsung</t>
  </si>
  <si>
    <t>BELUM REALISASI</t>
  </si>
  <si>
    <t>Akurat</t>
  </si>
  <si>
    <t>Metode pengadaan Pengadaan Langsung untuk Belanja Barang Non Operasional dengan pagu Rp70.000.000 telah sesuai dengan batasan nilai maksimal Rp200 juta.</t>
  </si>
  <si>
    <t>Dapat dilanjutkan ke tahap pengadaan berikutnya.</t>
  </si>
  <si>
    <t>Tidak ada perubahan.</t>
  </si>
  <si>
    <t>63147425</t>
  </si>
  <si>
    <t>Metode pengadaan Pengadaan Langsung untuk Belanja Barang Non Operasional dengan pagu Rp22.500.000 telah sesuai dengan batasan nilai maksimal Rp200 juta.</t>
  </si>
  <si>
    <t>63147450</t>
  </si>
  <si>
    <t>Belanja Bahan</t>
  </si>
  <si>
    <t>Metode pengadaan Pengadaan Langsung untuk Belanja Bahan dengan pagu Rp3.185.000 telah sesuai dengan batasan nilai maksimal Rp200 juta.</t>
  </si>
  <si>
    <t>63147451</t>
  </si>
  <si>
    <t>Metode pengadaan Pengadaan Langsung untuk Belanja Barang Non Operasional dengan pagu Rp131.982.000 telah sesuai dengan batasan nilai maksimal Rp200 juta.</t>
  </si>
  <si>
    <t>63147453</t>
  </si>
  <si>
    <t>Bahan pengujian</t>
  </si>
  <si>
    <t>E-Purchasing</t>
  </si>
  <si>
    <t>ON_PROCESS</t>
  </si>
  <si>
    <t>Metode pengadaan E-Purchasing tidak dibatasi nilai pagu anggaran.</t>
  </si>
  <si>
    <t>63147454</t>
  </si>
  <si>
    <t>Evaluasi dan pelaporan</t>
  </si>
  <si>
    <t>Metode pengadaan Pengadaan Langsung untuk Evaluasi dan Pelaporan dengan pagu Rp7.500.000 telah sesuai dengan batasan nilai maksimal Rp200 juta.</t>
  </si>
  <si>
    <t>63147455</t>
  </si>
  <si>
    <t>PAYMENT_OUTSIDE_SYSTEM</t>
  </si>
  <si>
    <t>63147456</t>
  </si>
  <si>
    <t>ATK dan Komputer Supplies</t>
  </si>
  <si>
    <t>Metode pengadaan Pengadaan Langsung untuk ATK dan Komputer Supplies dengan pagu Rp3.000.000 telah sesuai dengan batasan nilai maksimal Rp200 juta.</t>
  </si>
  <si>
    <t>63147457</t>
  </si>
  <si>
    <t>Monitoring, Evaluasi dan Pelaporan</t>
  </si>
  <si>
    <t>Metode pengadaan Pengadaan Langsung untuk Monitoring, Evaluasi dan Pelaporan dengan pagu Rp1.500.000 telah sesuai dengan batasan nilai maksimal Rp200 juta.</t>
  </si>
  <si>
    <t>63429692</t>
  </si>
  <si>
    <t>Belanja Pemeliharaan Peralatan dan Mesin</t>
  </si>
  <si>
    <t>Tidak Akurat</t>
  </si>
  <si>
    <t>Nilai pagu paket sebesar Rp216.513.000 melebihi batas maksimal Pengadaan Langsung Barang/Jasa Lainnya (maksimal Rp200 juta).</t>
  </si>
  <si>
    <t>Ubah metode pengadaan menjadi Tender atau E-Purchasing.</t>
  </si>
  <si>
    <t>63429693</t>
  </si>
  <si>
    <t>Belanja Pemeliharaan Gedung dan Bangunan</t>
  </si>
  <si>
    <t>COMPLETED</t>
  </si>
  <si>
    <t>Metode Pengadaan Langsung sesuai dengan pagu paket Pekerjaan Konstruksi yang bernilai Rp210.969.000 (di bawah Rp400 juta).</t>
  </si>
  <si>
    <t>Lanjutkan proses pengadaan.</t>
  </si>
  <si>
    <t>Status: COMPLETED → BELUM REALISASI; Realisasi: Rp126.677.540 → Rp0; Realisasi (%): 60% → 0%</t>
  </si>
  <si>
    <t>63429694</t>
  </si>
  <si>
    <t>Metode Pengadaan Langsung sesuai dengan pagu paket yang bernilai Rp29.700.000 (di bawah Rp200 juta).</t>
  </si>
  <si>
    <t>63429695</t>
  </si>
  <si>
    <t>Belanja Langganan Listrik</t>
  </si>
  <si>
    <t>Dikecualikan</t>
  </si>
  <si>
    <t>Metode Dikecualikan sesuai untuk Belanja Langganan Listrik (akun 522111).</t>
  </si>
  <si>
    <t>63429696</t>
  </si>
  <si>
    <t>Metode Pengadaan Langsung sesuai dengan pagu paket yang bernilai Rp47.610.000 (di bawah Rp200 juta).</t>
  </si>
  <si>
    <t>63429699</t>
  </si>
  <si>
    <t>Jamuan Tamu (10 Org x 12 Bln)</t>
  </si>
  <si>
    <t>Metode Pengadaan Langsung sesuai dengan pagu paket yang bernilai Rp6.000.000 (di bawah Rp200 juta).</t>
  </si>
  <si>
    <t>63429700</t>
  </si>
  <si>
    <t>Belanja Barang Operasional Lainnya</t>
  </si>
  <si>
    <t>Metode E-Purchasing sesuai untuk pengadaan barang operasional lainnya tanpa batasan nilai.</t>
  </si>
  <si>
    <t>Lanjutkan proses pengadaan melalui e-katalog.</t>
  </si>
  <si>
    <t>63429701</t>
  </si>
  <si>
    <t>Belanja Langganan Telepon</t>
  </si>
  <si>
    <t>Metode Dikecualikan sesuai untuk Belanja Langganan Telepon (akun 522112).</t>
  </si>
  <si>
    <t>63429702</t>
  </si>
  <si>
    <t>Biaya Keperluan Perkantoran</t>
  </si>
  <si>
    <t>Metode Pengadaan Langsung sesuai dengan pagu paket yang bernilai Rp103.360.000 (di bawah Rp200 juta).</t>
  </si>
  <si>
    <t>66812896</t>
  </si>
  <si>
    <t>Pagu Rp524.935.000 menggunakan E-Purchasing untuk Jasa Lainnya sesuai.</t>
  </si>
  <si>
    <t>-</t>
  </si>
  <si>
    <t>66812907</t>
  </si>
  <si>
    <t>Pagu Rp31.119.000 menggunakan Pengadaan Langsung untuk Jasa Lainnya sesuai karena di bawah atau sama dengan Rp200.000.000.</t>
  </si>
  <si>
    <t>66812956</t>
  </si>
  <si>
    <t>Belanja Sewa Mesin Fotocopy</t>
  </si>
  <si>
    <t>Pagu Rp41.165.000 menggunakan E-Purchasing untuk Jasa Lainnya sesuai.</t>
  </si>
  <si>
    <t>67078956</t>
  </si>
  <si>
    <t>E-Purchasing tidak dibatasi nilai.</t>
  </si>
  <si>
    <t>Paket yang Mengalami Perubahan — Balai K3 Bandung</t>
  </si>
  <si>
    <t>BERUBAH</t>
  </si>
  <si>
    <t>Laporan Ringkasan Pengadaan — Balai K3 Bandung (5 Agustus 2026)</t>
  </si>
  <si>
    <t>Status</t>
  </si>
  <si>
    <t>Pagu (Rp)</t>
  </si>
  <si>
    <t>Realisasi (Rp)</t>
  </si>
  <si>
    <t>Realisasi (%)</t>
  </si>
  <si>
    <t>Status Kurasi AI</t>
  </si>
  <si>
    <t>Catatan Kurasi AI</t>
  </si>
  <si>
    <t>Rekomendasi Kurasi AI</t>
  </si>
  <si>
    <t>Laporan Ringkasan Pengadaan — Balai K3 Bandung (12 Agustus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</si>
</sst>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7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6"/>
      <color rgb="FFFFFFFF"/>
      <name val="Carlito"/>
    </font>
    <font>
      <i/>
      <sz val="11"/>
      <name val="Carlito"/>
    </font>
    <font>
      <sz val="11"/>
      <color rgb="FFFF0000"/>
      <name val="Carlito"/>
    </font>
    <font>
      <b/>
      <sz val="11"/>
      <color rgb="FFFF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0" applyNumberFormat="1"/>
    <xf numFmtId="3" fontId="0" fillId="0" borderId="7" xfId="0" applyNumberFormat="1" applyBorder="1"/>
    <xf numFmtId="164" fontId="0" fillId="0" borderId="0" xfId="0" applyNumberFormat="1"/>
    <xf numFmtId="164" fontId="0" fillId="0" borderId="7" xfId="0" applyNumberFormat="1" applyBorder="1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10" fontId="0" fillId="0" borderId="0" xfId="0" applyNumberFormat="1"/>
    <xf numFmtId="10" fontId="0" fillId="0" borderId="7" xfId="0" applyNumberFormat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3" fontId="0" fillId="0" borderId="5" xfId="0" applyNumberFormat="1" applyBorder="1"/>
    <xf numFmtId="10" fontId="0" fillId="0" borderId="8" xfId="0" applyNumberFormat="1" applyBorder="1"/>
    <xf numFmtId="0" fontId="1" fillId="2" borderId="0" xfId="0" applyFont="1" applyFill="1"/>
    <xf numFmtId="0" fontId="3" fillId="2" borderId="0" xfId="0" applyFont="1" applyFill="1"/>
    <xf numFmtId="0" fontId="4" fillId="5" borderId="0" xfId="0" applyFont="1" applyFill="1"/>
    <xf numFmtId="0" fontId="2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5" fillId="0" borderId="6" xfId="0" applyFont="1" applyBorder="1"/>
    <xf numFmtId="0" fontId="5" fillId="0" borderId="7" xfId="0" applyFont="1" applyBorder="1"/>
    <xf numFmtId="0" fontId="5" fillId="0" borderId="7" xfId="0" applyFont="1" applyBorder="1" applyAlignment="1">
      <alignment wrapText="1"/>
    </xf>
    <xf numFmtId="3" fontId="5" fillId="0" borderId="7" xfId="0" applyNumberFormat="1" applyFont="1" applyBorder="1"/>
    <xf numFmtId="10" fontId="5" fillId="0" borderId="7" xfId="0" applyNumberFormat="1" applyFont="1" applyBorder="1"/>
    <xf numFmtId="0" fontId="6" fillId="4" borderId="7" xfId="0" applyFont="1" applyFill="1" applyBorder="1"/>
    <xf numFmtId="0" fontId="5" fillId="0" borderId="8" xfId="0" applyFont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8">
    <dxf>
      <fill>
        <patternFill patternType="solid">
          <bgColor rgb="FFE2F0D9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  <color rgb="FFC00000"/>
      </font>
    </dxf>
    <dxf>
      <font>
        <b/>
        <color rgb="FF008000"/>
      </font>
    </dxf>
    <dxf>
      <font>
        <b/>
        <color rgb="FFC00000"/>
      </font>
    </dxf>
    <dxf>
      <font>
        <b/>
        <color rgb="FF008000"/>
      </font>
    </dxf>
    <dxf>
      <font>
        <b/>
        <color rgb="FFC00000"/>
      </font>
    </dxf>
    <dxf>
      <font>
        <b/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Perbandingan Pagu dan Realisasi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5 Agustus 2026</c:v>
          </c:tx>
          <c:invertIfNegative val="1"/>
          <c:cat>
            <c:strRef>
              <c:f>Ringkasan!$F$23:$F$24</c:f>
              <c:strCache>
                <c:ptCount val="2"/>
                <c:pt idx="0">
                  <c:v>Total Pagu (Rp)</c:v>
                </c:pt>
                <c:pt idx="1">
                  <c:v>Total Realisasi (Rp)</c:v>
                </c:pt>
              </c:strCache>
            </c:strRef>
          </c:cat>
          <c:val>
            <c:numRef>
              <c:f>Ringkasan!$G$23:$G$24</c:f>
              <c:numCache>
                <c:formatCode>General</c:formatCode>
                <c:ptCount val="2"/>
                <c:pt idx="0">
                  <c:v>3352889000</c:v>
                </c:pt>
                <c:pt idx="1">
                  <c:v>1420315433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4-45C5-B407-B9B1025F2C57}"/>
            </c:ext>
          </c:extLst>
        </c:ser>
        <c:ser>
          <c:idx val="1"/>
          <c:order val="1"/>
          <c:tx>
            <c:v>12 Agustus 2026</c:v>
          </c:tx>
          <c:invertIfNegative val="1"/>
          <c:cat>
            <c:strRef>
              <c:f>Ringkasan!$F$23:$F$24</c:f>
              <c:strCache>
                <c:ptCount val="2"/>
                <c:pt idx="0">
                  <c:v>Total Pagu (Rp)</c:v>
                </c:pt>
                <c:pt idx="1">
                  <c:v>Total Realisasi (Rp)</c:v>
                </c:pt>
              </c:strCache>
            </c:strRef>
          </c:cat>
          <c:val>
            <c:numRef>
              <c:f>Ringkasan!$H$23:$H$24</c:f>
              <c:numCache>
                <c:formatCode>General</c:formatCode>
                <c:ptCount val="2"/>
                <c:pt idx="0">
                  <c:v>3352889000</c:v>
                </c:pt>
                <c:pt idx="1">
                  <c:v>1293637893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4-45C5-B407-B9B1025F2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sqref="A1:H1"/>
    </sheetView>
  </sheetViews>
  <sheetFormatPr defaultRowHeight="13.5"/>
  <cols>
    <col min="1" max="1" width="30" customWidth="1"/>
    <col min="2" max="4" width="20" customWidth="1"/>
    <col min="5" max="5" width="4" customWidth="1"/>
    <col min="6" max="8" width="20" customWidth="1"/>
  </cols>
  <sheetData>
    <row r="1" spans="1:8" ht="20.65">
      <c r="A1" s="28" t="s">
        <v>0</v>
      </c>
      <c r="B1" s="28"/>
      <c r="C1" s="28"/>
      <c r="D1" s="28"/>
      <c r="E1" s="28"/>
      <c r="F1" s="28"/>
      <c r="G1" s="28"/>
      <c r="H1" s="28"/>
    </row>
    <row r="2" spans="1:8" ht="13.9">
      <c r="A2" s="29" t="s">
        <v>1</v>
      </c>
      <c r="B2" s="29"/>
      <c r="C2" s="29"/>
      <c r="D2" s="29"/>
      <c r="E2" s="29"/>
      <c r="F2" s="29"/>
      <c r="G2" s="29"/>
      <c r="H2" s="29"/>
    </row>
    <row r="4" spans="1:8" ht="13.9">
      <c r="A4" s="22" t="s">
        <v>2</v>
      </c>
      <c r="B4" s="23" t="s">
        <v>3</v>
      </c>
      <c r="C4" s="23" t="s">
        <v>4</v>
      </c>
      <c r="D4" s="24" t="s">
        <v>5</v>
      </c>
    </row>
    <row r="5" spans="1:8">
      <c r="A5" s="4" t="s">
        <v>6</v>
      </c>
      <c r="B5">
        <v>22</v>
      </c>
      <c r="C5">
        <v>22</v>
      </c>
      <c r="D5" s="5">
        <f>C5-B5</f>
        <v>0</v>
      </c>
    </row>
    <row r="6" spans="1:8">
      <c r="A6" s="4" t="s">
        <v>7</v>
      </c>
      <c r="B6" s="9">
        <v>3352889000</v>
      </c>
      <c r="C6" s="9">
        <v>3352889000</v>
      </c>
      <c r="D6" s="25">
        <f>C6-B6</f>
        <v>0</v>
      </c>
    </row>
    <row r="7" spans="1:8">
      <c r="A7" s="4" t="s">
        <v>8</v>
      </c>
      <c r="B7" s="9">
        <v>1420315433</v>
      </c>
      <c r="C7" s="9">
        <v>1293637893</v>
      </c>
      <c r="D7" s="25">
        <f>C7-B7</f>
        <v>-126677540</v>
      </c>
    </row>
    <row r="8" spans="1:8">
      <c r="A8" s="6" t="s">
        <v>9</v>
      </c>
      <c r="B8" s="21">
        <f>IFERROR(B7/B6,0)</f>
        <v>0.4236094403960286</v>
      </c>
      <c r="C8" s="21">
        <f>IFERROR(C7/C6,0)</f>
        <v>0.38582783175941704</v>
      </c>
      <c r="D8" s="26">
        <f>C8-B8</f>
        <v>-3.7781608636611563E-2</v>
      </c>
    </row>
    <row r="10" spans="1:8" ht="13.9">
      <c r="A10" s="22" t="s">
        <v>10</v>
      </c>
      <c r="B10" s="24" t="s">
        <v>11</v>
      </c>
    </row>
    <row r="11" spans="1:8">
      <c r="A11" s="4" t="s">
        <v>12</v>
      </c>
      <c r="B11" s="5">
        <v>0</v>
      </c>
    </row>
    <row r="12" spans="1:8">
      <c r="A12" s="4" t="s">
        <v>13</v>
      </c>
      <c r="B12" s="5">
        <v>0</v>
      </c>
    </row>
    <row r="13" spans="1:8">
      <c r="A13" s="4" t="s">
        <v>14</v>
      </c>
      <c r="B13" s="5">
        <v>1</v>
      </c>
    </row>
    <row r="14" spans="1:8">
      <c r="A14" s="6" t="s">
        <v>15</v>
      </c>
      <c r="B14" s="8">
        <v>21</v>
      </c>
    </row>
    <row r="16" spans="1:8" ht="13.9">
      <c r="A16" s="30" t="s">
        <v>16</v>
      </c>
      <c r="B16" s="30"/>
      <c r="C16" s="30"/>
      <c r="D16" s="30"/>
      <c r="E16" s="30"/>
      <c r="F16" s="30"/>
      <c r="G16" s="30"/>
      <c r="H16" s="30"/>
    </row>
    <row r="17" spans="1:8">
      <c r="A17" s="31" t="s">
        <v>17</v>
      </c>
      <c r="B17" s="31"/>
      <c r="C17" s="31"/>
      <c r="D17" s="31"/>
      <c r="E17" s="31"/>
      <c r="F17" s="31"/>
      <c r="G17" s="31"/>
      <c r="H17" s="31"/>
    </row>
    <row r="18" spans="1:8">
      <c r="A18" s="31"/>
      <c r="B18" s="31"/>
      <c r="C18" s="31"/>
      <c r="D18" s="31"/>
      <c r="E18" s="31"/>
      <c r="F18" s="31"/>
      <c r="G18" s="31"/>
      <c r="H18" s="31"/>
    </row>
    <row r="19" spans="1:8">
      <c r="A19" s="31"/>
      <c r="B19" s="31"/>
      <c r="C19" s="31"/>
      <c r="D19" s="31"/>
      <c r="E19" s="31"/>
      <c r="F19" s="31"/>
      <c r="G19" s="31"/>
      <c r="H19" s="31"/>
    </row>
    <row r="20" spans="1:8">
      <c r="A20" s="31"/>
      <c r="B20" s="31"/>
      <c r="C20" s="31"/>
      <c r="D20" s="31"/>
      <c r="E20" s="31"/>
      <c r="F20" s="31"/>
      <c r="G20" s="31"/>
      <c r="H20" s="31"/>
    </row>
    <row r="22" spans="1:8">
      <c r="F22" t="s">
        <v>2</v>
      </c>
      <c r="G22" t="s">
        <v>3</v>
      </c>
      <c r="H22" t="s">
        <v>4</v>
      </c>
    </row>
    <row r="23" spans="1:8">
      <c r="F23" t="s">
        <v>7</v>
      </c>
      <c r="G23">
        <v>3352889000</v>
      </c>
      <c r="H23">
        <v>3352889000</v>
      </c>
    </row>
    <row r="24" spans="1:8">
      <c r="F24" t="s">
        <v>8</v>
      </c>
      <c r="G24">
        <v>1420315433</v>
      </c>
      <c r="H24">
        <v>1293637893</v>
      </c>
    </row>
  </sheetData>
  <mergeCells count="4">
    <mergeCell ref="A1:H1"/>
    <mergeCell ref="A2:H2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5"/>
  <sheetViews>
    <sheetView workbookViewId="0"/>
  </sheetViews>
  <sheetFormatPr defaultRowHeight="13.5"/>
  <cols>
    <col min="1" max="1" width="14" customWidth="1"/>
    <col min="2" max="2" width="34" customWidth="1"/>
    <col min="3" max="3" width="20" customWidth="1"/>
    <col min="4" max="4" width="44" customWidth="1"/>
    <col min="5" max="5" width="18" customWidth="1"/>
    <col min="6" max="7" width="22" customWidth="1"/>
    <col min="8" max="9" width="18" customWidth="1"/>
    <col min="10" max="10" width="16" customWidth="1"/>
    <col min="11" max="12" width="20" customWidth="1"/>
    <col min="13" max="13" width="18" customWidth="1"/>
    <col min="14" max="16" width="16" customWidth="1"/>
    <col min="17" max="18" width="18" customWidth="1"/>
    <col min="19" max="22" width="42" customWidth="1"/>
    <col min="23" max="23" width="18" customWidth="1"/>
    <col min="24" max="24" width="70" customWidth="1"/>
  </cols>
  <sheetData>
    <row r="1" spans="1:24" ht="17.649999999999999">
      <c r="A1" s="27" t="s">
        <v>18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3" spans="1:24" ht="13.9">
      <c r="A3" s="17" t="s">
        <v>19</v>
      </c>
      <c r="B3" s="18" t="s">
        <v>20</v>
      </c>
      <c r="C3" s="18" t="s">
        <v>21</v>
      </c>
      <c r="D3" s="18" t="s">
        <v>22</v>
      </c>
      <c r="E3" s="18" t="s">
        <v>23</v>
      </c>
      <c r="F3" s="18" t="s">
        <v>24</v>
      </c>
      <c r="G3" s="18" t="s">
        <v>25</v>
      </c>
      <c r="H3" s="18" t="s">
        <v>26</v>
      </c>
      <c r="I3" s="18" t="s">
        <v>27</v>
      </c>
      <c r="J3" s="18" t="s">
        <v>28</v>
      </c>
      <c r="K3" s="18" t="s">
        <v>29</v>
      </c>
      <c r="L3" s="18" t="s">
        <v>30</v>
      </c>
      <c r="M3" s="18" t="s">
        <v>31</v>
      </c>
      <c r="N3" s="18" t="s">
        <v>32</v>
      </c>
      <c r="O3" s="18" t="s">
        <v>33</v>
      </c>
      <c r="P3" s="18" t="s">
        <v>34</v>
      </c>
      <c r="Q3" s="18" t="s">
        <v>35</v>
      </c>
      <c r="R3" s="18" t="s">
        <v>36</v>
      </c>
      <c r="S3" s="18" t="s">
        <v>37</v>
      </c>
      <c r="T3" s="18" t="s">
        <v>38</v>
      </c>
      <c r="U3" s="18" t="s">
        <v>39</v>
      </c>
      <c r="V3" s="18" t="s">
        <v>40</v>
      </c>
      <c r="W3" s="18" t="s">
        <v>41</v>
      </c>
      <c r="X3" s="19" t="s">
        <v>42</v>
      </c>
    </row>
    <row r="4" spans="1:24" ht="54">
      <c r="A4" s="4" t="s">
        <v>43</v>
      </c>
      <c r="B4" t="s">
        <v>44</v>
      </c>
      <c r="C4" t="s">
        <v>45</v>
      </c>
      <c r="D4" s="13" t="s">
        <v>46</v>
      </c>
      <c r="E4" t="s">
        <v>47</v>
      </c>
      <c r="F4" t="s">
        <v>48</v>
      </c>
      <c r="G4" t="s">
        <v>48</v>
      </c>
      <c r="H4" s="9">
        <v>70000000</v>
      </c>
      <c r="I4" s="9">
        <v>70000000</v>
      </c>
      <c r="J4" s="9">
        <f t="shared" ref="J4:J25" si="0">I4-H4</f>
        <v>0</v>
      </c>
      <c r="K4" s="9">
        <v>0</v>
      </c>
      <c r="L4" s="9">
        <v>0</v>
      </c>
      <c r="M4" s="9">
        <f t="shared" ref="M4:M25" si="1">L4-K4</f>
        <v>0</v>
      </c>
      <c r="N4" s="20">
        <v>0</v>
      </c>
      <c r="O4" s="20">
        <v>0</v>
      </c>
      <c r="P4" s="20">
        <f t="shared" ref="P4:P25" si="2">O4-N4</f>
        <v>0</v>
      </c>
      <c r="Q4" t="s">
        <v>49</v>
      </c>
      <c r="R4" t="s">
        <v>49</v>
      </c>
      <c r="S4" s="13" t="s">
        <v>50</v>
      </c>
      <c r="T4" s="13" t="s">
        <v>50</v>
      </c>
      <c r="U4" s="13" t="s">
        <v>51</v>
      </c>
      <c r="V4" s="13" t="s">
        <v>51</v>
      </c>
      <c r="W4" t="str">
        <f t="shared" ref="W4:W25" si="3">IF(F4="","PAKET BARU",IF(G4="","TIDAK MUNCUL",IF(OR(F4&lt;&gt;G4,H4&lt;&gt;I4,K4&lt;&gt;L4,N4&lt;&gt;O4,Q4&lt;&gt;R4,S4&lt;&gt;T4,U4&lt;&gt;V4),"BERUBAH","TETAP")))</f>
        <v>TETAP</v>
      </c>
      <c r="X4" s="15" t="s">
        <v>52</v>
      </c>
    </row>
    <row r="5" spans="1:24" ht="54">
      <c r="A5" s="4" t="s">
        <v>53</v>
      </c>
      <c r="B5" t="s">
        <v>44</v>
      </c>
      <c r="C5" t="s">
        <v>45</v>
      </c>
      <c r="D5" s="13" t="s">
        <v>46</v>
      </c>
      <c r="E5" t="s">
        <v>47</v>
      </c>
      <c r="F5" t="s">
        <v>48</v>
      </c>
      <c r="G5" t="s">
        <v>48</v>
      </c>
      <c r="H5" s="9">
        <v>22500000</v>
      </c>
      <c r="I5" s="9">
        <v>22500000</v>
      </c>
      <c r="J5" s="9">
        <f t="shared" si="0"/>
        <v>0</v>
      </c>
      <c r="K5" s="9">
        <v>0</v>
      </c>
      <c r="L5" s="9">
        <v>0</v>
      </c>
      <c r="M5" s="9">
        <f t="shared" si="1"/>
        <v>0</v>
      </c>
      <c r="N5" s="20">
        <v>0</v>
      </c>
      <c r="O5" s="20">
        <v>0</v>
      </c>
      <c r="P5" s="20">
        <f t="shared" si="2"/>
        <v>0</v>
      </c>
      <c r="Q5" t="s">
        <v>49</v>
      </c>
      <c r="R5" t="s">
        <v>49</v>
      </c>
      <c r="S5" s="13" t="s">
        <v>54</v>
      </c>
      <c r="T5" s="13" t="s">
        <v>54</v>
      </c>
      <c r="U5" s="13" t="s">
        <v>51</v>
      </c>
      <c r="V5" s="13" t="s">
        <v>51</v>
      </c>
      <c r="W5" t="str">
        <f t="shared" si="3"/>
        <v>TETAP</v>
      </c>
      <c r="X5" s="15" t="s">
        <v>52</v>
      </c>
    </row>
    <row r="6" spans="1:24" ht="40.5">
      <c r="A6" s="4" t="s">
        <v>55</v>
      </c>
      <c r="B6" t="s">
        <v>44</v>
      </c>
      <c r="C6" t="s">
        <v>45</v>
      </c>
      <c r="D6" s="13" t="s">
        <v>56</v>
      </c>
      <c r="E6" t="s">
        <v>47</v>
      </c>
      <c r="F6" t="s">
        <v>48</v>
      </c>
      <c r="G6" t="s">
        <v>48</v>
      </c>
      <c r="H6" s="9">
        <v>3185000</v>
      </c>
      <c r="I6" s="9">
        <v>3185000</v>
      </c>
      <c r="J6" s="9">
        <f t="shared" si="0"/>
        <v>0</v>
      </c>
      <c r="K6" s="9">
        <v>0</v>
      </c>
      <c r="L6" s="9">
        <v>0</v>
      </c>
      <c r="M6" s="9">
        <f t="shared" si="1"/>
        <v>0</v>
      </c>
      <c r="N6" s="20">
        <v>0</v>
      </c>
      <c r="O6" s="20">
        <v>0</v>
      </c>
      <c r="P6" s="20">
        <f t="shared" si="2"/>
        <v>0</v>
      </c>
      <c r="Q6" t="s">
        <v>49</v>
      </c>
      <c r="R6" t="s">
        <v>49</v>
      </c>
      <c r="S6" s="13" t="s">
        <v>57</v>
      </c>
      <c r="T6" s="13" t="s">
        <v>57</v>
      </c>
      <c r="U6" s="13" t="s">
        <v>51</v>
      </c>
      <c r="V6" s="13" t="s">
        <v>51</v>
      </c>
      <c r="W6" t="str">
        <f t="shared" si="3"/>
        <v>TETAP</v>
      </c>
      <c r="X6" s="15" t="s">
        <v>52</v>
      </c>
    </row>
    <row r="7" spans="1:24" ht="54">
      <c r="A7" s="4" t="s">
        <v>58</v>
      </c>
      <c r="B7" t="s">
        <v>44</v>
      </c>
      <c r="C7" t="s">
        <v>45</v>
      </c>
      <c r="D7" s="13" t="s">
        <v>46</v>
      </c>
      <c r="E7" t="s">
        <v>47</v>
      </c>
      <c r="F7" t="s">
        <v>48</v>
      </c>
      <c r="G7" t="s">
        <v>48</v>
      </c>
      <c r="H7" s="9">
        <v>131982000</v>
      </c>
      <c r="I7" s="9">
        <v>131982000</v>
      </c>
      <c r="J7" s="9">
        <f t="shared" si="0"/>
        <v>0</v>
      </c>
      <c r="K7" s="9">
        <v>0</v>
      </c>
      <c r="L7" s="9">
        <v>0</v>
      </c>
      <c r="M7" s="9">
        <f t="shared" si="1"/>
        <v>0</v>
      </c>
      <c r="N7" s="20">
        <v>0</v>
      </c>
      <c r="O7" s="20">
        <v>0</v>
      </c>
      <c r="P7" s="20">
        <f t="shared" si="2"/>
        <v>0</v>
      </c>
      <c r="Q7" t="s">
        <v>49</v>
      </c>
      <c r="R7" t="s">
        <v>49</v>
      </c>
      <c r="S7" s="13" t="s">
        <v>59</v>
      </c>
      <c r="T7" s="13" t="s">
        <v>59</v>
      </c>
      <c r="U7" s="13" t="s">
        <v>51</v>
      </c>
      <c r="V7" s="13" t="s">
        <v>51</v>
      </c>
      <c r="W7" t="str">
        <f t="shared" si="3"/>
        <v>TETAP</v>
      </c>
      <c r="X7" s="15" t="s">
        <v>52</v>
      </c>
    </row>
    <row r="8" spans="1:24" ht="27">
      <c r="A8" s="4" t="s">
        <v>60</v>
      </c>
      <c r="B8" t="s">
        <v>44</v>
      </c>
      <c r="C8" t="s">
        <v>45</v>
      </c>
      <c r="D8" s="13" t="s">
        <v>61</v>
      </c>
      <c r="E8" t="s">
        <v>62</v>
      </c>
      <c r="F8" t="s">
        <v>63</v>
      </c>
      <c r="G8" t="s">
        <v>63</v>
      </c>
      <c r="H8" s="9">
        <v>495000000</v>
      </c>
      <c r="I8" s="9">
        <v>495000000</v>
      </c>
      <c r="J8" s="9">
        <f t="shared" si="0"/>
        <v>0</v>
      </c>
      <c r="K8" s="9">
        <v>212759250</v>
      </c>
      <c r="L8" s="9">
        <v>212759250</v>
      </c>
      <c r="M8" s="9">
        <f t="shared" si="1"/>
        <v>0</v>
      </c>
      <c r="N8" s="20">
        <v>0.43</v>
      </c>
      <c r="O8" s="20">
        <v>0.43</v>
      </c>
      <c r="P8" s="20">
        <f t="shared" si="2"/>
        <v>0</v>
      </c>
      <c r="Q8" t="s">
        <v>49</v>
      </c>
      <c r="R8" t="s">
        <v>49</v>
      </c>
      <c r="S8" s="13" t="s">
        <v>64</v>
      </c>
      <c r="T8" s="13" t="s">
        <v>64</v>
      </c>
      <c r="U8" s="13" t="s">
        <v>51</v>
      </c>
      <c r="V8" s="13" t="s">
        <v>51</v>
      </c>
      <c r="W8" t="str">
        <f t="shared" si="3"/>
        <v>TETAP</v>
      </c>
      <c r="X8" s="15" t="s">
        <v>52</v>
      </c>
    </row>
    <row r="9" spans="1:24" ht="54">
      <c r="A9" s="4" t="s">
        <v>65</v>
      </c>
      <c r="B9" t="s">
        <v>44</v>
      </c>
      <c r="C9" t="s">
        <v>45</v>
      </c>
      <c r="D9" s="13" t="s">
        <v>66</v>
      </c>
      <c r="E9" t="s">
        <v>47</v>
      </c>
      <c r="F9" t="s">
        <v>48</v>
      </c>
      <c r="G9" t="s">
        <v>48</v>
      </c>
      <c r="H9" s="9">
        <v>7500000</v>
      </c>
      <c r="I9" s="9">
        <v>7500000</v>
      </c>
      <c r="J9" s="9">
        <f t="shared" si="0"/>
        <v>0</v>
      </c>
      <c r="K9" s="9">
        <v>0</v>
      </c>
      <c r="L9" s="9">
        <v>0</v>
      </c>
      <c r="M9" s="9">
        <f t="shared" si="1"/>
        <v>0</v>
      </c>
      <c r="N9" s="20">
        <v>0</v>
      </c>
      <c r="O9" s="20">
        <v>0</v>
      </c>
      <c r="P9" s="20">
        <f t="shared" si="2"/>
        <v>0</v>
      </c>
      <c r="Q9" t="s">
        <v>49</v>
      </c>
      <c r="R9" t="s">
        <v>49</v>
      </c>
      <c r="S9" s="13" t="s">
        <v>67</v>
      </c>
      <c r="T9" s="13" t="s">
        <v>67</v>
      </c>
      <c r="U9" s="13" t="s">
        <v>51</v>
      </c>
      <c r="V9" s="13" t="s">
        <v>51</v>
      </c>
      <c r="W9" t="str">
        <f t="shared" si="3"/>
        <v>TETAP</v>
      </c>
      <c r="X9" s="15" t="s">
        <v>52</v>
      </c>
    </row>
    <row r="10" spans="1:24" ht="27">
      <c r="A10" s="4" t="s">
        <v>68</v>
      </c>
      <c r="B10" t="s">
        <v>44</v>
      </c>
      <c r="C10" t="s">
        <v>45</v>
      </c>
      <c r="D10" s="13" t="s">
        <v>61</v>
      </c>
      <c r="E10" t="s">
        <v>62</v>
      </c>
      <c r="F10" t="s">
        <v>69</v>
      </c>
      <c r="G10" t="s">
        <v>69</v>
      </c>
      <c r="H10" s="9">
        <v>170851000</v>
      </c>
      <c r="I10" s="9">
        <v>170851000</v>
      </c>
      <c r="J10" s="9">
        <f t="shared" si="0"/>
        <v>0</v>
      </c>
      <c r="K10" s="9">
        <v>60085410</v>
      </c>
      <c r="L10" s="9">
        <v>60085410</v>
      </c>
      <c r="M10" s="9">
        <f t="shared" si="1"/>
        <v>0</v>
      </c>
      <c r="N10" s="20">
        <v>0.35</v>
      </c>
      <c r="O10" s="20">
        <v>0.35</v>
      </c>
      <c r="P10" s="20">
        <f t="shared" si="2"/>
        <v>0</v>
      </c>
      <c r="Q10" t="s">
        <v>49</v>
      </c>
      <c r="R10" t="s">
        <v>49</v>
      </c>
      <c r="S10" s="13" t="s">
        <v>64</v>
      </c>
      <c r="T10" s="13" t="s">
        <v>64</v>
      </c>
      <c r="U10" s="13" t="s">
        <v>51</v>
      </c>
      <c r="V10" s="13" t="s">
        <v>51</v>
      </c>
      <c r="W10" t="str">
        <f t="shared" si="3"/>
        <v>TETAP</v>
      </c>
      <c r="X10" s="15" t="s">
        <v>52</v>
      </c>
    </row>
    <row r="11" spans="1:24" ht="54">
      <c r="A11" s="4" t="s">
        <v>70</v>
      </c>
      <c r="B11" t="s">
        <v>44</v>
      </c>
      <c r="C11" t="s">
        <v>45</v>
      </c>
      <c r="D11" s="13" t="s">
        <v>71</v>
      </c>
      <c r="E11" t="s">
        <v>47</v>
      </c>
      <c r="F11" t="s">
        <v>48</v>
      </c>
      <c r="G11" t="s">
        <v>48</v>
      </c>
      <c r="H11" s="9">
        <v>3000000</v>
      </c>
      <c r="I11" s="9">
        <v>3000000</v>
      </c>
      <c r="J11" s="9">
        <f t="shared" si="0"/>
        <v>0</v>
      </c>
      <c r="K11" s="9">
        <v>0</v>
      </c>
      <c r="L11" s="9">
        <v>0</v>
      </c>
      <c r="M11" s="9">
        <f t="shared" si="1"/>
        <v>0</v>
      </c>
      <c r="N11" s="20">
        <v>0</v>
      </c>
      <c r="O11" s="20">
        <v>0</v>
      </c>
      <c r="P11" s="20">
        <f t="shared" si="2"/>
        <v>0</v>
      </c>
      <c r="Q11" t="s">
        <v>49</v>
      </c>
      <c r="R11" t="s">
        <v>49</v>
      </c>
      <c r="S11" s="13" t="s">
        <v>72</v>
      </c>
      <c r="T11" s="13" t="s">
        <v>72</v>
      </c>
      <c r="U11" s="13" t="s">
        <v>51</v>
      </c>
      <c r="V11" s="13" t="s">
        <v>51</v>
      </c>
      <c r="W11" t="str">
        <f t="shared" si="3"/>
        <v>TETAP</v>
      </c>
      <c r="X11" s="15" t="s">
        <v>52</v>
      </c>
    </row>
    <row r="12" spans="1:24" ht="54">
      <c r="A12" s="4" t="s">
        <v>73</v>
      </c>
      <c r="B12" t="s">
        <v>44</v>
      </c>
      <c r="C12" t="s">
        <v>45</v>
      </c>
      <c r="D12" s="13" t="s">
        <v>74</v>
      </c>
      <c r="E12" t="s">
        <v>47</v>
      </c>
      <c r="F12" t="s">
        <v>48</v>
      </c>
      <c r="G12" t="s">
        <v>48</v>
      </c>
      <c r="H12" s="9">
        <v>1500000</v>
      </c>
      <c r="I12" s="9">
        <v>1500000</v>
      </c>
      <c r="J12" s="9">
        <f t="shared" si="0"/>
        <v>0</v>
      </c>
      <c r="K12" s="9">
        <v>0</v>
      </c>
      <c r="L12" s="9">
        <v>0</v>
      </c>
      <c r="M12" s="9">
        <f t="shared" si="1"/>
        <v>0</v>
      </c>
      <c r="N12" s="20">
        <v>0</v>
      </c>
      <c r="O12" s="20">
        <v>0</v>
      </c>
      <c r="P12" s="20">
        <f t="shared" si="2"/>
        <v>0</v>
      </c>
      <c r="Q12" t="s">
        <v>49</v>
      </c>
      <c r="R12" t="s">
        <v>49</v>
      </c>
      <c r="S12" s="13" t="s">
        <v>75</v>
      </c>
      <c r="T12" s="13" t="s">
        <v>75</v>
      </c>
      <c r="U12" s="13" t="s">
        <v>51</v>
      </c>
      <c r="V12" s="13" t="s">
        <v>51</v>
      </c>
      <c r="W12" t="str">
        <f t="shared" si="3"/>
        <v>TETAP</v>
      </c>
      <c r="X12" s="15" t="s">
        <v>52</v>
      </c>
    </row>
    <row r="13" spans="1:24" ht="40.5">
      <c r="A13" s="4" t="s">
        <v>76</v>
      </c>
      <c r="B13" t="s">
        <v>44</v>
      </c>
      <c r="C13" t="s">
        <v>45</v>
      </c>
      <c r="D13" s="13" t="s">
        <v>77</v>
      </c>
      <c r="E13" t="s">
        <v>47</v>
      </c>
      <c r="F13" t="s">
        <v>48</v>
      </c>
      <c r="G13" t="s">
        <v>48</v>
      </c>
      <c r="H13" s="9">
        <v>216513000</v>
      </c>
      <c r="I13" s="9">
        <v>216513000</v>
      </c>
      <c r="J13" s="9">
        <f t="shared" si="0"/>
        <v>0</v>
      </c>
      <c r="K13" s="9">
        <v>0</v>
      </c>
      <c r="L13" s="9">
        <v>0</v>
      </c>
      <c r="M13" s="9">
        <f t="shared" si="1"/>
        <v>0</v>
      </c>
      <c r="N13" s="20">
        <v>0</v>
      </c>
      <c r="O13" s="20">
        <v>0</v>
      </c>
      <c r="P13" s="20">
        <f t="shared" si="2"/>
        <v>0</v>
      </c>
      <c r="Q13" t="s">
        <v>78</v>
      </c>
      <c r="R13" t="s">
        <v>78</v>
      </c>
      <c r="S13" s="13" t="s">
        <v>79</v>
      </c>
      <c r="T13" s="13" t="s">
        <v>79</v>
      </c>
      <c r="U13" s="13" t="s">
        <v>80</v>
      </c>
      <c r="V13" s="13" t="s">
        <v>80</v>
      </c>
      <c r="W13" t="str">
        <f t="shared" si="3"/>
        <v>TETAP</v>
      </c>
      <c r="X13" s="15" t="s">
        <v>52</v>
      </c>
    </row>
    <row r="14" spans="1:24" ht="40.5">
      <c r="A14" s="4" t="s">
        <v>81</v>
      </c>
      <c r="B14" t="s">
        <v>44</v>
      </c>
      <c r="C14" t="s">
        <v>45</v>
      </c>
      <c r="D14" s="13" t="s">
        <v>82</v>
      </c>
      <c r="E14" t="s">
        <v>47</v>
      </c>
      <c r="F14" t="s">
        <v>83</v>
      </c>
      <c r="G14" t="s">
        <v>48</v>
      </c>
      <c r="H14" s="9">
        <v>210969000</v>
      </c>
      <c r="I14" s="9">
        <v>210969000</v>
      </c>
      <c r="J14" s="9">
        <f t="shared" si="0"/>
        <v>0</v>
      </c>
      <c r="K14" s="9">
        <v>126677540</v>
      </c>
      <c r="L14" s="9">
        <v>0</v>
      </c>
      <c r="M14" s="9">
        <f t="shared" si="1"/>
        <v>-126677540</v>
      </c>
      <c r="N14" s="20">
        <v>0.6</v>
      </c>
      <c r="O14" s="20">
        <v>0</v>
      </c>
      <c r="P14" s="20">
        <f t="shared" si="2"/>
        <v>-0.6</v>
      </c>
      <c r="Q14" t="s">
        <v>49</v>
      </c>
      <c r="R14" t="s">
        <v>49</v>
      </c>
      <c r="S14" s="13" t="s">
        <v>84</v>
      </c>
      <c r="T14" s="13" t="s">
        <v>84</v>
      </c>
      <c r="U14" s="13" t="s">
        <v>85</v>
      </c>
      <c r="V14" s="13" t="s">
        <v>85</v>
      </c>
      <c r="W14" t="str">
        <f t="shared" si="3"/>
        <v>BERUBAH</v>
      </c>
      <c r="X14" s="15" t="s">
        <v>86</v>
      </c>
    </row>
    <row r="15" spans="1:24" ht="40.5">
      <c r="A15" s="4" t="s">
        <v>87</v>
      </c>
      <c r="B15" t="s">
        <v>44</v>
      </c>
      <c r="C15" t="s">
        <v>45</v>
      </c>
      <c r="D15" s="13" t="s">
        <v>77</v>
      </c>
      <c r="E15" t="s">
        <v>47</v>
      </c>
      <c r="F15" t="s">
        <v>48</v>
      </c>
      <c r="G15" t="s">
        <v>48</v>
      </c>
      <c r="H15" s="9">
        <v>29700000</v>
      </c>
      <c r="I15" s="9">
        <v>29700000</v>
      </c>
      <c r="J15" s="9">
        <f t="shared" si="0"/>
        <v>0</v>
      </c>
      <c r="K15" s="9">
        <v>0</v>
      </c>
      <c r="L15" s="9">
        <v>0</v>
      </c>
      <c r="M15" s="9">
        <f t="shared" si="1"/>
        <v>0</v>
      </c>
      <c r="N15" s="20">
        <v>0</v>
      </c>
      <c r="O15" s="20">
        <v>0</v>
      </c>
      <c r="P15" s="20">
        <f t="shared" si="2"/>
        <v>0</v>
      </c>
      <c r="Q15" t="s">
        <v>49</v>
      </c>
      <c r="R15" t="s">
        <v>49</v>
      </c>
      <c r="S15" s="13" t="s">
        <v>88</v>
      </c>
      <c r="T15" s="13" t="s">
        <v>88</v>
      </c>
      <c r="U15" s="13" t="s">
        <v>85</v>
      </c>
      <c r="V15" s="13" t="s">
        <v>85</v>
      </c>
      <c r="W15" t="str">
        <f t="shared" si="3"/>
        <v>TETAP</v>
      </c>
      <c r="X15" s="15" t="s">
        <v>52</v>
      </c>
    </row>
    <row r="16" spans="1:24" ht="27">
      <c r="A16" s="4" t="s">
        <v>89</v>
      </c>
      <c r="B16" t="s">
        <v>44</v>
      </c>
      <c r="C16" t="s">
        <v>45</v>
      </c>
      <c r="D16" s="13" t="s">
        <v>90</v>
      </c>
      <c r="E16" t="s">
        <v>91</v>
      </c>
      <c r="F16" t="s">
        <v>48</v>
      </c>
      <c r="G16" t="s">
        <v>48</v>
      </c>
      <c r="H16" s="9">
        <v>276000000</v>
      </c>
      <c r="I16" s="9">
        <v>276000000</v>
      </c>
      <c r="J16" s="9">
        <f t="shared" si="0"/>
        <v>0</v>
      </c>
      <c r="K16" s="9">
        <v>0</v>
      </c>
      <c r="L16" s="9">
        <v>0</v>
      </c>
      <c r="M16" s="9">
        <f t="shared" si="1"/>
        <v>0</v>
      </c>
      <c r="N16" s="20">
        <v>0</v>
      </c>
      <c r="O16" s="20">
        <v>0</v>
      </c>
      <c r="P16" s="20">
        <f t="shared" si="2"/>
        <v>0</v>
      </c>
      <c r="Q16" t="s">
        <v>49</v>
      </c>
      <c r="R16" t="s">
        <v>49</v>
      </c>
      <c r="S16" s="13" t="s">
        <v>92</v>
      </c>
      <c r="T16" s="13" t="s">
        <v>92</v>
      </c>
      <c r="U16" s="13" t="s">
        <v>85</v>
      </c>
      <c r="V16" s="13" t="s">
        <v>85</v>
      </c>
      <c r="W16" t="str">
        <f t="shared" si="3"/>
        <v>TETAP</v>
      </c>
      <c r="X16" s="15" t="s">
        <v>52</v>
      </c>
    </row>
    <row r="17" spans="1:24" ht="40.5">
      <c r="A17" s="4" t="s">
        <v>93</v>
      </c>
      <c r="B17" t="s">
        <v>44</v>
      </c>
      <c r="C17" t="s">
        <v>45</v>
      </c>
      <c r="D17" s="13" t="s">
        <v>77</v>
      </c>
      <c r="E17" t="s">
        <v>47</v>
      </c>
      <c r="F17" t="s">
        <v>48</v>
      </c>
      <c r="G17" t="s">
        <v>48</v>
      </c>
      <c r="H17" s="9">
        <v>47610000</v>
      </c>
      <c r="I17" s="9">
        <v>47610000</v>
      </c>
      <c r="J17" s="9">
        <f t="shared" si="0"/>
        <v>0</v>
      </c>
      <c r="K17" s="9">
        <v>0</v>
      </c>
      <c r="L17" s="9">
        <v>0</v>
      </c>
      <c r="M17" s="9">
        <f t="shared" si="1"/>
        <v>0</v>
      </c>
      <c r="N17" s="20">
        <v>0</v>
      </c>
      <c r="O17" s="20">
        <v>0</v>
      </c>
      <c r="P17" s="20">
        <f t="shared" si="2"/>
        <v>0</v>
      </c>
      <c r="Q17" t="s">
        <v>49</v>
      </c>
      <c r="R17" t="s">
        <v>49</v>
      </c>
      <c r="S17" s="13" t="s">
        <v>94</v>
      </c>
      <c r="T17" s="13" t="s">
        <v>94</v>
      </c>
      <c r="U17" s="13" t="s">
        <v>85</v>
      </c>
      <c r="V17" s="13" t="s">
        <v>85</v>
      </c>
      <c r="W17" t="str">
        <f t="shared" si="3"/>
        <v>TETAP</v>
      </c>
      <c r="X17" s="15" t="s">
        <v>52</v>
      </c>
    </row>
    <row r="18" spans="1:24" ht="40.5">
      <c r="A18" s="4" t="s">
        <v>95</v>
      </c>
      <c r="B18" t="s">
        <v>44</v>
      </c>
      <c r="C18" t="s">
        <v>45</v>
      </c>
      <c r="D18" s="13" t="s">
        <v>96</v>
      </c>
      <c r="E18" t="s">
        <v>47</v>
      </c>
      <c r="F18" t="s">
        <v>48</v>
      </c>
      <c r="G18" t="s">
        <v>48</v>
      </c>
      <c r="H18" s="9">
        <v>6000000</v>
      </c>
      <c r="I18" s="9">
        <v>6000000</v>
      </c>
      <c r="J18" s="9">
        <f t="shared" si="0"/>
        <v>0</v>
      </c>
      <c r="K18" s="9">
        <v>0</v>
      </c>
      <c r="L18" s="9">
        <v>0</v>
      </c>
      <c r="M18" s="9">
        <f t="shared" si="1"/>
        <v>0</v>
      </c>
      <c r="N18" s="20">
        <v>0</v>
      </c>
      <c r="O18" s="20">
        <v>0</v>
      </c>
      <c r="P18" s="20">
        <f t="shared" si="2"/>
        <v>0</v>
      </c>
      <c r="Q18" t="s">
        <v>49</v>
      </c>
      <c r="R18" t="s">
        <v>49</v>
      </c>
      <c r="S18" s="13" t="s">
        <v>97</v>
      </c>
      <c r="T18" s="13" t="s">
        <v>97</v>
      </c>
      <c r="U18" s="13" t="s">
        <v>85</v>
      </c>
      <c r="V18" s="13" t="s">
        <v>85</v>
      </c>
      <c r="W18" t="str">
        <f t="shared" si="3"/>
        <v>TETAP</v>
      </c>
      <c r="X18" s="15" t="s">
        <v>52</v>
      </c>
    </row>
    <row r="19" spans="1:24" ht="27">
      <c r="A19" s="4" t="s">
        <v>98</v>
      </c>
      <c r="B19" t="s">
        <v>44</v>
      </c>
      <c r="C19" t="s">
        <v>45</v>
      </c>
      <c r="D19" s="13" t="s">
        <v>99</v>
      </c>
      <c r="E19" t="s">
        <v>62</v>
      </c>
      <c r="F19" t="s">
        <v>63</v>
      </c>
      <c r="G19" t="s">
        <v>63</v>
      </c>
      <c r="H19" s="9">
        <v>825000000</v>
      </c>
      <c r="I19" s="9">
        <v>825000000</v>
      </c>
      <c r="J19" s="9">
        <f t="shared" si="0"/>
        <v>0</v>
      </c>
      <c r="K19" s="9">
        <v>825000000</v>
      </c>
      <c r="L19" s="9">
        <v>825000000</v>
      </c>
      <c r="M19" s="9">
        <f t="shared" si="1"/>
        <v>0</v>
      </c>
      <c r="N19" s="20">
        <v>1</v>
      </c>
      <c r="O19" s="20">
        <v>1</v>
      </c>
      <c r="P19" s="20">
        <f t="shared" si="2"/>
        <v>0</v>
      </c>
      <c r="Q19" t="s">
        <v>49</v>
      </c>
      <c r="R19" t="s">
        <v>49</v>
      </c>
      <c r="S19" s="13" t="s">
        <v>100</v>
      </c>
      <c r="T19" s="13" t="s">
        <v>100</v>
      </c>
      <c r="U19" s="13" t="s">
        <v>101</v>
      </c>
      <c r="V19" s="13" t="s">
        <v>101</v>
      </c>
      <c r="W19" t="str">
        <f t="shared" si="3"/>
        <v>TETAP</v>
      </c>
      <c r="X19" s="15" t="s">
        <v>52</v>
      </c>
    </row>
    <row r="20" spans="1:24" ht="27">
      <c r="A20" s="4" t="s">
        <v>102</v>
      </c>
      <c r="B20" t="s">
        <v>44</v>
      </c>
      <c r="C20" t="s">
        <v>45</v>
      </c>
      <c r="D20" s="13" t="s">
        <v>103</v>
      </c>
      <c r="E20" t="s">
        <v>91</v>
      </c>
      <c r="F20" t="s">
        <v>48</v>
      </c>
      <c r="G20" t="s">
        <v>48</v>
      </c>
      <c r="H20" s="9">
        <v>120000000</v>
      </c>
      <c r="I20" s="9">
        <v>120000000</v>
      </c>
      <c r="J20" s="9">
        <f t="shared" si="0"/>
        <v>0</v>
      </c>
      <c r="K20" s="9">
        <v>0</v>
      </c>
      <c r="L20" s="9">
        <v>0</v>
      </c>
      <c r="M20" s="9">
        <f t="shared" si="1"/>
        <v>0</v>
      </c>
      <c r="N20" s="20">
        <v>0</v>
      </c>
      <c r="O20" s="20">
        <v>0</v>
      </c>
      <c r="P20" s="20">
        <f t="shared" si="2"/>
        <v>0</v>
      </c>
      <c r="Q20" t="s">
        <v>49</v>
      </c>
      <c r="R20" t="s">
        <v>49</v>
      </c>
      <c r="S20" s="13" t="s">
        <v>104</v>
      </c>
      <c r="T20" s="13" t="s">
        <v>104</v>
      </c>
      <c r="U20" s="13" t="s">
        <v>85</v>
      </c>
      <c r="V20" s="13" t="s">
        <v>85</v>
      </c>
      <c r="W20" t="str">
        <f t="shared" si="3"/>
        <v>TETAP</v>
      </c>
      <c r="X20" s="15" t="s">
        <v>52</v>
      </c>
    </row>
    <row r="21" spans="1:24" ht="40.5">
      <c r="A21" s="4" t="s">
        <v>105</v>
      </c>
      <c r="B21" t="s">
        <v>44</v>
      </c>
      <c r="C21" t="s">
        <v>45</v>
      </c>
      <c r="D21" s="13" t="s">
        <v>106</v>
      </c>
      <c r="E21" t="s">
        <v>47</v>
      </c>
      <c r="F21" t="s">
        <v>48</v>
      </c>
      <c r="G21" t="s">
        <v>48</v>
      </c>
      <c r="H21" s="9">
        <v>103360000</v>
      </c>
      <c r="I21" s="9">
        <v>103360000</v>
      </c>
      <c r="J21" s="9">
        <f t="shared" si="0"/>
        <v>0</v>
      </c>
      <c r="K21" s="9">
        <v>0</v>
      </c>
      <c r="L21" s="9">
        <v>0</v>
      </c>
      <c r="M21" s="9">
        <f t="shared" si="1"/>
        <v>0</v>
      </c>
      <c r="N21" s="20">
        <v>0</v>
      </c>
      <c r="O21" s="20">
        <v>0</v>
      </c>
      <c r="P21" s="20">
        <f t="shared" si="2"/>
        <v>0</v>
      </c>
      <c r="Q21" t="s">
        <v>49</v>
      </c>
      <c r="R21" t="s">
        <v>49</v>
      </c>
      <c r="S21" s="13" t="s">
        <v>107</v>
      </c>
      <c r="T21" s="13" t="s">
        <v>107</v>
      </c>
      <c r="U21" s="13" t="s">
        <v>85</v>
      </c>
      <c r="V21" s="13" t="s">
        <v>85</v>
      </c>
      <c r="W21" t="str">
        <f t="shared" si="3"/>
        <v>TETAP</v>
      </c>
      <c r="X21" s="15" t="s">
        <v>52</v>
      </c>
    </row>
    <row r="22" spans="1:24" ht="27">
      <c r="A22" s="4" t="s">
        <v>108</v>
      </c>
      <c r="B22" t="s">
        <v>44</v>
      </c>
      <c r="C22" t="s">
        <v>45</v>
      </c>
      <c r="D22" s="13" t="s">
        <v>77</v>
      </c>
      <c r="E22" t="s">
        <v>62</v>
      </c>
      <c r="F22" t="s">
        <v>69</v>
      </c>
      <c r="G22" t="s">
        <v>69</v>
      </c>
      <c r="H22" s="9">
        <v>524935000</v>
      </c>
      <c r="I22" s="9">
        <v>524935000</v>
      </c>
      <c r="J22" s="9">
        <f t="shared" si="0"/>
        <v>0</v>
      </c>
      <c r="K22" s="9">
        <v>155455500</v>
      </c>
      <c r="L22" s="9">
        <v>155455500</v>
      </c>
      <c r="M22" s="9">
        <f t="shared" si="1"/>
        <v>0</v>
      </c>
      <c r="N22" s="20">
        <v>0.3</v>
      </c>
      <c r="O22" s="20">
        <v>0.3</v>
      </c>
      <c r="P22" s="20">
        <f t="shared" si="2"/>
        <v>0</v>
      </c>
      <c r="Q22" t="s">
        <v>49</v>
      </c>
      <c r="R22" t="s">
        <v>49</v>
      </c>
      <c r="S22" s="13" t="s">
        <v>109</v>
      </c>
      <c r="T22" s="13" t="s">
        <v>109</v>
      </c>
      <c r="U22" s="13" t="s">
        <v>110</v>
      </c>
      <c r="V22" s="13" t="s">
        <v>110</v>
      </c>
      <c r="W22" t="str">
        <f t="shared" si="3"/>
        <v>TETAP</v>
      </c>
      <c r="X22" s="15" t="s">
        <v>52</v>
      </c>
    </row>
    <row r="23" spans="1:24" ht="40.5">
      <c r="A23" s="4" t="s">
        <v>111</v>
      </c>
      <c r="B23" t="s">
        <v>44</v>
      </c>
      <c r="C23" t="s">
        <v>45</v>
      </c>
      <c r="D23" s="13" t="s">
        <v>99</v>
      </c>
      <c r="E23" t="s">
        <v>47</v>
      </c>
      <c r="F23" t="s">
        <v>48</v>
      </c>
      <c r="G23" t="s">
        <v>48</v>
      </c>
      <c r="H23" s="9">
        <v>31119000</v>
      </c>
      <c r="I23" s="9">
        <v>31119000</v>
      </c>
      <c r="J23" s="9">
        <f t="shared" si="0"/>
        <v>0</v>
      </c>
      <c r="K23" s="9">
        <v>0</v>
      </c>
      <c r="L23" s="9">
        <v>0</v>
      </c>
      <c r="M23" s="9">
        <f t="shared" si="1"/>
        <v>0</v>
      </c>
      <c r="N23" s="20">
        <v>0</v>
      </c>
      <c r="O23" s="20">
        <v>0</v>
      </c>
      <c r="P23" s="20">
        <f t="shared" si="2"/>
        <v>0</v>
      </c>
      <c r="Q23" t="s">
        <v>49</v>
      </c>
      <c r="R23" t="s">
        <v>49</v>
      </c>
      <c r="S23" s="13" t="s">
        <v>112</v>
      </c>
      <c r="T23" s="13" t="s">
        <v>112</v>
      </c>
      <c r="U23" s="13" t="s">
        <v>110</v>
      </c>
      <c r="V23" s="13" t="s">
        <v>110</v>
      </c>
      <c r="W23" t="str">
        <f t="shared" si="3"/>
        <v>TETAP</v>
      </c>
      <c r="X23" s="15" t="s">
        <v>52</v>
      </c>
    </row>
    <row r="24" spans="1:24" ht="27">
      <c r="A24" s="4" t="s">
        <v>113</v>
      </c>
      <c r="B24" t="s">
        <v>44</v>
      </c>
      <c r="C24" t="s">
        <v>45</v>
      </c>
      <c r="D24" s="13" t="s">
        <v>114</v>
      </c>
      <c r="E24" t="s">
        <v>62</v>
      </c>
      <c r="F24" t="s">
        <v>69</v>
      </c>
      <c r="G24" t="s">
        <v>69</v>
      </c>
      <c r="H24" s="9">
        <v>41165000</v>
      </c>
      <c r="I24" s="9">
        <v>41165000</v>
      </c>
      <c r="J24" s="9">
        <f t="shared" si="0"/>
        <v>0</v>
      </c>
      <c r="K24" s="9">
        <v>30869100</v>
      </c>
      <c r="L24" s="9">
        <v>30869100</v>
      </c>
      <c r="M24" s="9">
        <f t="shared" si="1"/>
        <v>0</v>
      </c>
      <c r="N24" s="20">
        <v>0.75</v>
      </c>
      <c r="O24" s="20">
        <v>0.75</v>
      </c>
      <c r="P24" s="20">
        <f t="shared" si="2"/>
        <v>0</v>
      </c>
      <c r="Q24" t="s">
        <v>49</v>
      </c>
      <c r="R24" t="s">
        <v>49</v>
      </c>
      <c r="S24" s="13" t="s">
        <v>115</v>
      </c>
      <c r="T24" s="13" t="s">
        <v>115</v>
      </c>
      <c r="U24" s="13" t="s">
        <v>110</v>
      </c>
      <c r="V24" s="13" t="s">
        <v>110</v>
      </c>
      <c r="W24" t="str">
        <f t="shared" si="3"/>
        <v>TETAP</v>
      </c>
      <c r="X24" s="15" t="s">
        <v>52</v>
      </c>
    </row>
    <row r="25" spans="1:24">
      <c r="A25" s="6" t="s">
        <v>116</v>
      </c>
      <c r="B25" s="7" t="s">
        <v>44</v>
      </c>
      <c r="C25" s="7" t="s">
        <v>45</v>
      </c>
      <c r="D25" s="14" t="s">
        <v>71</v>
      </c>
      <c r="E25" s="7" t="s">
        <v>62</v>
      </c>
      <c r="F25" s="7" t="s">
        <v>69</v>
      </c>
      <c r="G25" s="7" t="s">
        <v>69</v>
      </c>
      <c r="H25" s="10">
        <v>15000000</v>
      </c>
      <c r="I25" s="10">
        <v>15000000</v>
      </c>
      <c r="J25" s="10">
        <f t="shared" si="0"/>
        <v>0</v>
      </c>
      <c r="K25" s="10">
        <v>9468633</v>
      </c>
      <c r="L25" s="10">
        <v>9468633</v>
      </c>
      <c r="M25" s="10">
        <f t="shared" si="1"/>
        <v>0</v>
      </c>
      <c r="N25" s="21">
        <v>0.63</v>
      </c>
      <c r="O25" s="21">
        <v>0.63</v>
      </c>
      <c r="P25" s="21">
        <f t="shared" si="2"/>
        <v>0</v>
      </c>
      <c r="Q25" s="7" t="s">
        <v>49</v>
      </c>
      <c r="R25" s="7" t="s">
        <v>49</v>
      </c>
      <c r="S25" s="14" t="s">
        <v>117</v>
      </c>
      <c r="T25" s="14" t="s">
        <v>117</v>
      </c>
      <c r="U25" s="14" t="s">
        <v>110</v>
      </c>
      <c r="V25" s="14" t="s">
        <v>110</v>
      </c>
      <c r="W25" s="7" t="str">
        <f t="shared" si="3"/>
        <v>TETAP</v>
      </c>
      <c r="X25" s="16" t="s">
        <v>52</v>
      </c>
    </row>
  </sheetData>
  <mergeCells count="1">
    <mergeCell ref="A1:X1"/>
  </mergeCells>
  <conditionalFormatting sqref="J4:J25">
    <cfRule type="cellIs" dxfId="7" priority="3" operator="greaterThan">
      <formula>0</formula>
    </cfRule>
    <cfRule type="cellIs" dxfId="6" priority="4" operator="lessThan">
      <formula>0</formula>
    </cfRule>
  </conditionalFormatting>
  <conditionalFormatting sqref="M4:M25">
    <cfRule type="cellIs" dxfId="5" priority="5" operator="greaterThan">
      <formula>0</formula>
    </cfRule>
    <cfRule type="cellIs" dxfId="4" priority="6" operator="lessThan">
      <formula>0</formula>
    </cfRule>
  </conditionalFormatting>
  <conditionalFormatting sqref="P4:P25">
    <cfRule type="cellIs" dxfId="3" priority="7" operator="greaterThan">
      <formula>0</formula>
    </cfRule>
    <cfRule type="cellIs" dxfId="2" priority="8" operator="lessThan">
      <formula>0</formula>
    </cfRule>
  </conditionalFormatting>
  <conditionalFormatting sqref="W4:W25">
    <cfRule type="expression" dxfId="1" priority="1">
      <formula>W4="BERUBAH"</formula>
    </cfRule>
    <cfRule type="expression" dxfId="0" priority="2">
      <formula>W4="TETAP"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"/>
  <sheetViews>
    <sheetView tabSelected="1" workbookViewId="0">
      <selection activeCell="A4" sqref="A4:XFD4"/>
    </sheetView>
  </sheetViews>
  <sheetFormatPr defaultRowHeight="13.5"/>
  <cols>
    <col min="1" max="1" width="14" customWidth="1"/>
    <col min="2" max="2" width="34" customWidth="1"/>
    <col min="3" max="3" width="20" customWidth="1"/>
    <col min="4" max="4" width="44" customWidth="1"/>
    <col min="5" max="5" width="18" customWidth="1"/>
    <col min="6" max="7" width="22" customWidth="1"/>
    <col min="8" max="9" width="18" customWidth="1"/>
    <col min="10" max="10" width="16" customWidth="1"/>
    <col min="11" max="12" width="20" customWidth="1"/>
    <col min="13" max="13" width="18" customWidth="1"/>
    <col min="14" max="16" width="16" customWidth="1"/>
    <col min="17" max="18" width="18" customWidth="1"/>
    <col min="19" max="22" width="42" customWidth="1"/>
    <col min="23" max="23" width="18" customWidth="1"/>
    <col min="24" max="24" width="70" customWidth="1"/>
  </cols>
  <sheetData>
    <row r="1" spans="1:24" ht="17.649999999999999">
      <c r="A1" s="27" t="s">
        <v>118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3" spans="1:24" ht="13.9">
      <c r="A3" s="17" t="s">
        <v>19</v>
      </c>
      <c r="B3" s="18" t="s">
        <v>20</v>
      </c>
      <c r="C3" s="18" t="s">
        <v>21</v>
      </c>
      <c r="D3" s="18" t="s">
        <v>22</v>
      </c>
      <c r="E3" s="18" t="s">
        <v>23</v>
      </c>
      <c r="F3" s="18" t="s">
        <v>24</v>
      </c>
      <c r="G3" s="18" t="s">
        <v>25</v>
      </c>
      <c r="H3" s="18" t="s">
        <v>26</v>
      </c>
      <c r="I3" s="18" t="s">
        <v>27</v>
      </c>
      <c r="J3" s="18" t="s">
        <v>28</v>
      </c>
      <c r="K3" s="18" t="s">
        <v>29</v>
      </c>
      <c r="L3" s="18" t="s">
        <v>30</v>
      </c>
      <c r="M3" s="18" t="s">
        <v>31</v>
      </c>
      <c r="N3" s="18" t="s">
        <v>32</v>
      </c>
      <c r="O3" s="18" t="s">
        <v>33</v>
      </c>
      <c r="P3" s="18" t="s">
        <v>34</v>
      </c>
      <c r="Q3" s="18" t="s">
        <v>35</v>
      </c>
      <c r="R3" s="18" t="s">
        <v>36</v>
      </c>
      <c r="S3" s="18" t="s">
        <v>37</v>
      </c>
      <c r="T3" s="18" t="s">
        <v>38</v>
      </c>
      <c r="U3" s="18" t="s">
        <v>39</v>
      </c>
      <c r="V3" s="18" t="s">
        <v>40</v>
      </c>
      <c r="W3" s="18" t="s">
        <v>41</v>
      </c>
      <c r="X3" s="19" t="s">
        <v>42</v>
      </c>
    </row>
    <row r="4" spans="1:24" s="39" customFormat="1" ht="40.9">
      <c r="A4" s="32" t="s">
        <v>81</v>
      </c>
      <c r="B4" s="33" t="s">
        <v>44</v>
      </c>
      <c r="C4" s="33" t="s">
        <v>45</v>
      </c>
      <c r="D4" s="34" t="s">
        <v>82</v>
      </c>
      <c r="E4" s="33" t="s">
        <v>47</v>
      </c>
      <c r="F4" s="33" t="s">
        <v>83</v>
      </c>
      <c r="G4" s="33" t="s">
        <v>48</v>
      </c>
      <c r="H4" s="35">
        <v>210969000</v>
      </c>
      <c r="I4" s="35">
        <v>210969000</v>
      </c>
      <c r="J4" s="35">
        <f>I4-H4</f>
        <v>0</v>
      </c>
      <c r="K4" s="35">
        <v>126677540</v>
      </c>
      <c r="L4" s="35">
        <v>0</v>
      </c>
      <c r="M4" s="35">
        <f>L4-K4</f>
        <v>-126677540</v>
      </c>
      <c r="N4" s="36">
        <v>0.6</v>
      </c>
      <c r="O4" s="36">
        <v>0</v>
      </c>
      <c r="P4" s="36">
        <f>O4-N4</f>
        <v>-0.6</v>
      </c>
      <c r="Q4" s="33" t="s">
        <v>49</v>
      </c>
      <c r="R4" s="33" t="s">
        <v>49</v>
      </c>
      <c r="S4" s="34" t="s">
        <v>84</v>
      </c>
      <c r="T4" s="34" t="s">
        <v>84</v>
      </c>
      <c r="U4" s="34" t="s">
        <v>85</v>
      </c>
      <c r="V4" s="34" t="s">
        <v>85</v>
      </c>
      <c r="W4" s="37" t="s">
        <v>119</v>
      </c>
      <c r="X4" s="38" t="s">
        <v>86</v>
      </c>
    </row>
  </sheetData>
  <autoFilter ref="A3:X4" xr:uid="{00000000-0001-0000-0200-000000000000}"/>
  <mergeCells count="1">
    <mergeCell ref="A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"/>
  <sheetViews>
    <sheetView workbookViewId="0">
      <selection activeCell="F3" sqref="F3"/>
    </sheetView>
  </sheetViews>
  <sheetFormatPr defaultRowHeight="13.5"/>
  <cols>
    <col min="1" max="1" width="14" customWidth="1"/>
    <col min="2" max="2" width="34" customWidth="1"/>
    <col min="3" max="3" width="20" customWidth="1"/>
    <col min="4" max="4" width="46" customWidth="1"/>
    <col min="5" max="5" width="18" customWidth="1"/>
    <col min="6" max="6" width="24" customWidth="1"/>
    <col min="7" max="8" width="18" customWidth="1"/>
    <col min="9" max="9" width="14" customWidth="1"/>
    <col min="10" max="10" width="18" customWidth="1"/>
    <col min="11" max="12" width="46" customWidth="1"/>
  </cols>
  <sheetData>
    <row r="1" spans="1:12" ht="17.649999999999999">
      <c r="A1" s="27" t="s">
        <v>120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3" spans="1:12" ht="13.9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3" t="s">
        <v>127</v>
      </c>
    </row>
    <row r="4" spans="1:12" ht="27">
      <c r="A4" s="4" t="s">
        <v>60</v>
      </c>
      <c r="B4" t="s">
        <v>44</v>
      </c>
      <c r="C4" t="s">
        <v>45</v>
      </c>
      <c r="D4" s="13" t="s">
        <v>61</v>
      </c>
      <c r="E4" t="s">
        <v>62</v>
      </c>
      <c r="F4" t="s">
        <v>63</v>
      </c>
      <c r="G4" s="9">
        <v>495000000</v>
      </c>
      <c r="H4" s="9">
        <v>212759250</v>
      </c>
      <c r="I4" s="11">
        <v>43</v>
      </c>
      <c r="J4" t="s">
        <v>49</v>
      </c>
      <c r="K4" s="13" t="s">
        <v>64</v>
      </c>
      <c r="L4" s="15" t="s">
        <v>51</v>
      </c>
    </row>
    <row r="5" spans="1:12" ht="27">
      <c r="A5" s="4" t="s">
        <v>68</v>
      </c>
      <c r="B5" t="s">
        <v>44</v>
      </c>
      <c r="C5" t="s">
        <v>45</v>
      </c>
      <c r="D5" s="13" t="s">
        <v>61</v>
      </c>
      <c r="E5" t="s">
        <v>62</v>
      </c>
      <c r="F5" t="s">
        <v>69</v>
      </c>
      <c r="G5" s="9">
        <v>170851000</v>
      </c>
      <c r="H5" s="9">
        <v>60085410</v>
      </c>
      <c r="I5" s="11">
        <v>35</v>
      </c>
      <c r="J5" t="s">
        <v>49</v>
      </c>
      <c r="K5" s="13" t="s">
        <v>64</v>
      </c>
      <c r="L5" s="15" t="s">
        <v>51</v>
      </c>
    </row>
    <row r="6" spans="1:12" ht="27">
      <c r="A6" s="4" t="s">
        <v>98</v>
      </c>
      <c r="B6" t="s">
        <v>44</v>
      </c>
      <c r="C6" t="s">
        <v>45</v>
      </c>
      <c r="D6" s="13" t="s">
        <v>99</v>
      </c>
      <c r="E6" t="s">
        <v>62</v>
      </c>
      <c r="F6" t="s">
        <v>63</v>
      </c>
      <c r="G6" s="9">
        <v>825000000</v>
      </c>
      <c r="H6" s="9">
        <v>825000000</v>
      </c>
      <c r="I6" s="11">
        <v>100</v>
      </c>
      <c r="J6" t="s">
        <v>49</v>
      </c>
      <c r="K6" s="13" t="s">
        <v>100</v>
      </c>
      <c r="L6" s="15" t="s">
        <v>101</v>
      </c>
    </row>
    <row r="7" spans="1:12" ht="27">
      <c r="A7" s="4" t="s">
        <v>108</v>
      </c>
      <c r="B7" t="s">
        <v>44</v>
      </c>
      <c r="C7" t="s">
        <v>45</v>
      </c>
      <c r="D7" s="13" t="s">
        <v>77</v>
      </c>
      <c r="E7" t="s">
        <v>62</v>
      </c>
      <c r="F7" t="s">
        <v>69</v>
      </c>
      <c r="G7" s="9">
        <v>524935000</v>
      </c>
      <c r="H7" s="9">
        <v>155455500</v>
      </c>
      <c r="I7" s="11">
        <v>30</v>
      </c>
      <c r="J7" t="s">
        <v>49</v>
      </c>
      <c r="K7" s="13" t="s">
        <v>109</v>
      </c>
      <c r="L7" s="15" t="s">
        <v>110</v>
      </c>
    </row>
    <row r="8" spans="1:12" ht="27">
      <c r="A8" s="4" t="s">
        <v>113</v>
      </c>
      <c r="B8" t="s">
        <v>44</v>
      </c>
      <c r="C8" t="s">
        <v>45</v>
      </c>
      <c r="D8" s="13" t="s">
        <v>114</v>
      </c>
      <c r="E8" t="s">
        <v>62</v>
      </c>
      <c r="F8" t="s">
        <v>69</v>
      </c>
      <c r="G8" s="9">
        <v>41165000</v>
      </c>
      <c r="H8" s="9">
        <v>30869100</v>
      </c>
      <c r="I8" s="11">
        <v>75</v>
      </c>
      <c r="J8" t="s">
        <v>49</v>
      </c>
      <c r="K8" s="13" t="s">
        <v>115</v>
      </c>
      <c r="L8" s="15" t="s">
        <v>110</v>
      </c>
    </row>
    <row r="9" spans="1:12">
      <c r="A9" s="4" t="s">
        <v>116</v>
      </c>
      <c r="B9" t="s">
        <v>44</v>
      </c>
      <c r="C9" t="s">
        <v>45</v>
      </c>
      <c r="D9" s="13" t="s">
        <v>71</v>
      </c>
      <c r="E9" t="s">
        <v>62</v>
      </c>
      <c r="F9" t="s">
        <v>69</v>
      </c>
      <c r="G9" s="9">
        <v>15000000</v>
      </c>
      <c r="H9" s="9">
        <v>9468633</v>
      </c>
      <c r="I9" s="11">
        <v>63</v>
      </c>
      <c r="J9" t="s">
        <v>49</v>
      </c>
      <c r="K9" s="13" t="s">
        <v>117</v>
      </c>
      <c r="L9" s="15" t="s">
        <v>110</v>
      </c>
    </row>
    <row r="10" spans="1:12" ht="54">
      <c r="A10" s="4" t="s">
        <v>43</v>
      </c>
      <c r="B10" t="s">
        <v>44</v>
      </c>
      <c r="C10" t="s">
        <v>45</v>
      </c>
      <c r="D10" s="13" t="s">
        <v>46</v>
      </c>
      <c r="E10" t="s">
        <v>47</v>
      </c>
      <c r="F10" t="s">
        <v>48</v>
      </c>
      <c r="G10" s="9">
        <v>70000000</v>
      </c>
      <c r="H10" s="9">
        <v>0</v>
      </c>
      <c r="I10" s="11">
        <v>0</v>
      </c>
      <c r="J10" t="s">
        <v>49</v>
      </c>
      <c r="K10" s="13" t="s">
        <v>50</v>
      </c>
      <c r="L10" s="15" t="s">
        <v>51</v>
      </c>
    </row>
    <row r="11" spans="1:12" ht="54">
      <c r="A11" s="4" t="s">
        <v>53</v>
      </c>
      <c r="B11" t="s">
        <v>44</v>
      </c>
      <c r="C11" t="s">
        <v>45</v>
      </c>
      <c r="D11" s="13" t="s">
        <v>46</v>
      </c>
      <c r="E11" t="s">
        <v>47</v>
      </c>
      <c r="F11" t="s">
        <v>48</v>
      </c>
      <c r="G11" s="9">
        <v>22500000</v>
      </c>
      <c r="H11" s="9">
        <v>0</v>
      </c>
      <c r="I11" s="11">
        <v>0</v>
      </c>
      <c r="J11" t="s">
        <v>49</v>
      </c>
      <c r="K11" s="13" t="s">
        <v>54</v>
      </c>
      <c r="L11" s="15" t="s">
        <v>51</v>
      </c>
    </row>
    <row r="12" spans="1:12" ht="40.5">
      <c r="A12" s="4" t="s">
        <v>55</v>
      </c>
      <c r="B12" t="s">
        <v>44</v>
      </c>
      <c r="C12" t="s">
        <v>45</v>
      </c>
      <c r="D12" s="13" t="s">
        <v>56</v>
      </c>
      <c r="E12" t="s">
        <v>47</v>
      </c>
      <c r="F12" t="s">
        <v>48</v>
      </c>
      <c r="G12" s="9">
        <v>3185000</v>
      </c>
      <c r="H12" s="9">
        <v>0</v>
      </c>
      <c r="I12" s="11">
        <v>0</v>
      </c>
      <c r="J12" t="s">
        <v>49</v>
      </c>
      <c r="K12" s="13" t="s">
        <v>57</v>
      </c>
      <c r="L12" s="15" t="s">
        <v>51</v>
      </c>
    </row>
    <row r="13" spans="1:12" ht="54">
      <c r="A13" s="4" t="s">
        <v>58</v>
      </c>
      <c r="B13" t="s">
        <v>44</v>
      </c>
      <c r="C13" t="s">
        <v>45</v>
      </c>
      <c r="D13" s="13" t="s">
        <v>46</v>
      </c>
      <c r="E13" t="s">
        <v>47</v>
      </c>
      <c r="F13" t="s">
        <v>48</v>
      </c>
      <c r="G13" s="9">
        <v>131982000</v>
      </c>
      <c r="H13" s="9">
        <v>0</v>
      </c>
      <c r="I13" s="11">
        <v>0</v>
      </c>
      <c r="J13" t="s">
        <v>49</v>
      </c>
      <c r="K13" s="13" t="s">
        <v>59</v>
      </c>
      <c r="L13" s="15" t="s">
        <v>51</v>
      </c>
    </row>
    <row r="14" spans="1:12" ht="54">
      <c r="A14" s="4" t="s">
        <v>65</v>
      </c>
      <c r="B14" t="s">
        <v>44</v>
      </c>
      <c r="C14" t="s">
        <v>45</v>
      </c>
      <c r="D14" s="13" t="s">
        <v>66</v>
      </c>
      <c r="E14" t="s">
        <v>47</v>
      </c>
      <c r="F14" t="s">
        <v>48</v>
      </c>
      <c r="G14" s="9">
        <v>7500000</v>
      </c>
      <c r="H14" s="9">
        <v>0</v>
      </c>
      <c r="I14" s="11">
        <v>0</v>
      </c>
      <c r="J14" t="s">
        <v>49</v>
      </c>
      <c r="K14" s="13" t="s">
        <v>67</v>
      </c>
      <c r="L14" s="15" t="s">
        <v>51</v>
      </c>
    </row>
    <row r="15" spans="1:12" ht="54">
      <c r="A15" s="4" t="s">
        <v>70</v>
      </c>
      <c r="B15" t="s">
        <v>44</v>
      </c>
      <c r="C15" t="s">
        <v>45</v>
      </c>
      <c r="D15" s="13" t="s">
        <v>71</v>
      </c>
      <c r="E15" t="s">
        <v>47</v>
      </c>
      <c r="F15" t="s">
        <v>48</v>
      </c>
      <c r="G15" s="9">
        <v>3000000</v>
      </c>
      <c r="H15" s="9">
        <v>0</v>
      </c>
      <c r="I15" s="11">
        <v>0</v>
      </c>
      <c r="J15" t="s">
        <v>49</v>
      </c>
      <c r="K15" s="13" t="s">
        <v>72</v>
      </c>
      <c r="L15" s="15" t="s">
        <v>51</v>
      </c>
    </row>
    <row r="16" spans="1:12" ht="54">
      <c r="A16" s="4" t="s">
        <v>73</v>
      </c>
      <c r="B16" t="s">
        <v>44</v>
      </c>
      <c r="C16" t="s">
        <v>45</v>
      </c>
      <c r="D16" s="13" t="s">
        <v>74</v>
      </c>
      <c r="E16" t="s">
        <v>47</v>
      </c>
      <c r="F16" t="s">
        <v>48</v>
      </c>
      <c r="G16" s="9">
        <v>1500000</v>
      </c>
      <c r="H16" s="9">
        <v>0</v>
      </c>
      <c r="I16" s="11">
        <v>0</v>
      </c>
      <c r="J16" t="s">
        <v>49</v>
      </c>
      <c r="K16" s="13" t="s">
        <v>75</v>
      </c>
      <c r="L16" s="15" t="s">
        <v>51</v>
      </c>
    </row>
    <row r="17" spans="1:12" ht="40.5">
      <c r="A17" s="4" t="s">
        <v>76</v>
      </c>
      <c r="B17" t="s">
        <v>44</v>
      </c>
      <c r="C17" t="s">
        <v>45</v>
      </c>
      <c r="D17" s="13" t="s">
        <v>77</v>
      </c>
      <c r="E17" t="s">
        <v>47</v>
      </c>
      <c r="F17" t="s">
        <v>48</v>
      </c>
      <c r="G17" s="9">
        <v>216513000</v>
      </c>
      <c r="H17" s="9">
        <v>0</v>
      </c>
      <c r="I17" s="11">
        <v>0</v>
      </c>
      <c r="J17" t="s">
        <v>78</v>
      </c>
      <c r="K17" s="13" t="s">
        <v>79</v>
      </c>
      <c r="L17" s="15" t="s">
        <v>80</v>
      </c>
    </row>
    <row r="18" spans="1:12" ht="40.5">
      <c r="A18" s="4" t="s">
        <v>81</v>
      </c>
      <c r="B18" t="s">
        <v>44</v>
      </c>
      <c r="C18" t="s">
        <v>45</v>
      </c>
      <c r="D18" s="13" t="s">
        <v>82</v>
      </c>
      <c r="E18" t="s">
        <v>47</v>
      </c>
      <c r="F18" t="s">
        <v>83</v>
      </c>
      <c r="G18" s="9">
        <v>210969000</v>
      </c>
      <c r="H18" s="9">
        <v>126677540</v>
      </c>
      <c r="I18" s="11">
        <v>60</v>
      </c>
      <c r="J18" t="s">
        <v>49</v>
      </c>
      <c r="K18" s="13" t="s">
        <v>84</v>
      </c>
      <c r="L18" s="15" t="s">
        <v>85</v>
      </c>
    </row>
    <row r="19" spans="1:12" ht="40.5">
      <c r="A19" s="4" t="s">
        <v>87</v>
      </c>
      <c r="B19" t="s">
        <v>44</v>
      </c>
      <c r="C19" t="s">
        <v>45</v>
      </c>
      <c r="D19" s="13" t="s">
        <v>77</v>
      </c>
      <c r="E19" t="s">
        <v>47</v>
      </c>
      <c r="F19" t="s">
        <v>48</v>
      </c>
      <c r="G19" s="9">
        <v>29700000</v>
      </c>
      <c r="H19" s="9">
        <v>0</v>
      </c>
      <c r="I19" s="11">
        <v>0</v>
      </c>
      <c r="J19" t="s">
        <v>49</v>
      </c>
      <c r="K19" s="13" t="s">
        <v>88</v>
      </c>
      <c r="L19" s="15" t="s">
        <v>85</v>
      </c>
    </row>
    <row r="20" spans="1:12" ht="27">
      <c r="A20" s="4" t="s">
        <v>89</v>
      </c>
      <c r="B20" t="s">
        <v>44</v>
      </c>
      <c r="C20" t="s">
        <v>45</v>
      </c>
      <c r="D20" s="13" t="s">
        <v>90</v>
      </c>
      <c r="E20" t="s">
        <v>91</v>
      </c>
      <c r="F20" t="s">
        <v>48</v>
      </c>
      <c r="G20" s="9">
        <v>276000000</v>
      </c>
      <c r="H20" s="9">
        <v>0</v>
      </c>
      <c r="I20" s="11">
        <v>0</v>
      </c>
      <c r="J20" t="s">
        <v>49</v>
      </c>
      <c r="K20" s="13" t="s">
        <v>92</v>
      </c>
      <c r="L20" s="15" t="s">
        <v>85</v>
      </c>
    </row>
    <row r="21" spans="1:12" ht="40.5">
      <c r="A21" s="4" t="s">
        <v>93</v>
      </c>
      <c r="B21" t="s">
        <v>44</v>
      </c>
      <c r="C21" t="s">
        <v>45</v>
      </c>
      <c r="D21" s="13" t="s">
        <v>77</v>
      </c>
      <c r="E21" t="s">
        <v>47</v>
      </c>
      <c r="F21" t="s">
        <v>48</v>
      </c>
      <c r="G21" s="9">
        <v>47610000</v>
      </c>
      <c r="H21" s="9">
        <v>0</v>
      </c>
      <c r="I21" s="11">
        <v>0</v>
      </c>
      <c r="J21" t="s">
        <v>49</v>
      </c>
      <c r="K21" s="13" t="s">
        <v>94</v>
      </c>
      <c r="L21" s="15" t="s">
        <v>85</v>
      </c>
    </row>
    <row r="22" spans="1:12" ht="27">
      <c r="A22" s="4" t="s">
        <v>95</v>
      </c>
      <c r="B22" t="s">
        <v>44</v>
      </c>
      <c r="C22" t="s">
        <v>45</v>
      </c>
      <c r="D22" s="13" t="s">
        <v>96</v>
      </c>
      <c r="E22" t="s">
        <v>47</v>
      </c>
      <c r="F22" t="s">
        <v>48</v>
      </c>
      <c r="G22" s="9">
        <v>6000000</v>
      </c>
      <c r="H22" s="9">
        <v>0</v>
      </c>
      <c r="I22" s="11">
        <v>0</v>
      </c>
      <c r="J22" t="s">
        <v>49</v>
      </c>
      <c r="K22" s="13" t="s">
        <v>97</v>
      </c>
      <c r="L22" s="15" t="s">
        <v>85</v>
      </c>
    </row>
    <row r="23" spans="1:12" ht="27">
      <c r="A23" s="4" t="s">
        <v>102</v>
      </c>
      <c r="B23" t="s">
        <v>44</v>
      </c>
      <c r="C23" t="s">
        <v>45</v>
      </c>
      <c r="D23" s="13" t="s">
        <v>103</v>
      </c>
      <c r="E23" t="s">
        <v>91</v>
      </c>
      <c r="F23" t="s">
        <v>48</v>
      </c>
      <c r="G23" s="9">
        <v>120000000</v>
      </c>
      <c r="H23" s="9">
        <v>0</v>
      </c>
      <c r="I23" s="11">
        <v>0</v>
      </c>
      <c r="J23" t="s">
        <v>49</v>
      </c>
      <c r="K23" s="13" t="s">
        <v>104</v>
      </c>
      <c r="L23" s="15" t="s">
        <v>85</v>
      </c>
    </row>
    <row r="24" spans="1:12" ht="40.5">
      <c r="A24" s="4" t="s">
        <v>105</v>
      </c>
      <c r="B24" t="s">
        <v>44</v>
      </c>
      <c r="C24" t="s">
        <v>45</v>
      </c>
      <c r="D24" s="13" t="s">
        <v>106</v>
      </c>
      <c r="E24" t="s">
        <v>47</v>
      </c>
      <c r="F24" t="s">
        <v>48</v>
      </c>
      <c r="G24" s="9">
        <v>103360000</v>
      </c>
      <c r="H24" s="9">
        <v>0</v>
      </c>
      <c r="I24" s="11">
        <v>0</v>
      </c>
      <c r="J24" t="s">
        <v>49</v>
      </c>
      <c r="K24" s="13" t="s">
        <v>107</v>
      </c>
      <c r="L24" s="15" t="s">
        <v>85</v>
      </c>
    </row>
    <row r="25" spans="1:12" ht="40.5">
      <c r="A25" s="6" t="s">
        <v>111</v>
      </c>
      <c r="B25" s="7" t="s">
        <v>44</v>
      </c>
      <c r="C25" s="7" t="s">
        <v>45</v>
      </c>
      <c r="D25" s="14" t="s">
        <v>99</v>
      </c>
      <c r="E25" s="7" t="s">
        <v>47</v>
      </c>
      <c r="F25" s="7" t="s">
        <v>48</v>
      </c>
      <c r="G25" s="10">
        <v>31119000</v>
      </c>
      <c r="H25" s="10">
        <v>0</v>
      </c>
      <c r="I25" s="12">
        <v>0</v>
      </c>
      <c r="J25" s="7" t="s">
        <v>49</v>
      </c>
      <c r="K25" s="14" t="s">
        <v>112</v>
      </c>
      <c r="L25" s="16" t="s">
        <v>110</v>
      </c>
    </row>
  </sheetData>
  <mergeCells count="1"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workbookViewId="0"/>
  </sheetViews>
  <sheetFormatPr defaultRowHeight="13.5"/>
  <cols>
    <col min="1" max="1" width="14" customWidth="1"/>
    <col min="2" max="2" width="34" customWidth="1"/>
    <col min="3" max="3" width="20" customWidth="1"/>
    <col min="4" max="4" width="46" customWidth="1"/>
    <col min="5" max="5" width="18" customWidth="1"/>
    <col min="6" max="6" width="24" customWidth="1"/>
    <col min="7" max="8" width="18" customWidth="1"/>
    <col min="9" max="9" width="14" customWidth="1"/>
    <col min="10" max="10" width="18" customWidth="1"/>
    <col min="11" max="12" width="46" customWidth="1"/>
  </cols>
  <sheetData>
    <row r="1" spans="1:12" ht="17.649999999999999">
      <c r="A1" s="27" t="s">
        <v>128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3" spans="1:12" ht="13.9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3" t="s">
        <v>127</v>
      </c>
    </row>
    <row r="4" spans="1:12" ht="27">
      <c r="A4" s="4" t="s">
        <v>60</v>
      </c>
      <c r="B4" t="s">
        <v>44</v>
      </c>
      <c r="C4" t="s">
        <v>45</v>
      </c>
      <c r="D4" s="13" t="s">
        <v>61</v>
      </c>
      <c r="E4" t="s">
        <v>62</v>
      </c>
      <c r="F4" t="s">
        <v>63</v>
      </c>
      <c r="G4" s="9">
        <v>495000000</v>
      </c>
      <c r="H4" s="9">
        <v>212759250</v>
      </c>
      <c r="I4" s="11">
        <v>43</v>
      </c>
      <c r="J4" t="s">
        <v>49</v>
      </c>
      <c r="K4" s="13" t="s">
        <v>64</v>
      </c>
      <c r="L4" s="15" t="s">
        <v>51</v>
      </c>
    </row>
    <row r="5" spans="1:12" ht="27">
      <c r="A5" s="4" t="s">
        <v>68</v>
      </c>
      <c r="B5" t="s">
        <v>44</v>
      </c>
      <c r="C5" t="s">
        <v>45</v>
      </c>
      <c r="D5" s="13" t="s">
        <v>61</v>
      </c>
      <c r="E5" t="s">
        <v>62</v>
      </c>
      <c r="F5" t="s">
        <v>69</v>
      </c>
      <c r="G5" s="9">
        <v>170851000</v>
      </c>
      <c r="H5" s="9">
        <v>60085410</v>
      </c>
      <c r="I5" s="11">
        <v>35</v>
      </c>
      <c r="J5" t="s">
        <v>49</v>
      </c>
      <c r="K5" s="13" t="s">
        <v>64</v>
      </c>
      <c r="L5" s="15" t="s">
        <v>51</v>
      </c>
    </row>
    <row r="6" spans="1:12" ht="27">
      <c r="A6" s="4" t="s">
        <v>98</v>
      </c>
      <c r="B6" t="s">
        <v>44</v>
      </c>
      <c r="C6" t="s">
        <v>45</v>
      </c>
      <c r="D6" s="13" t="s">
        <v>99</v>
      </c>
      <c r="E6" t="s">
        <v>62</v>
      </c>
      <c r="F6" t="s">
        <v>63</v>
      </c>
      <c r="G6" s="9">
        <v>825000000</v>
      </c>
      <c r="H6" s="9">
        <v>825000000</v>
      </c>
      <c r="I6" s="11">
        <v>100</v>
      </c>
      <c r="J6" t="s">
        <v>49</v>
      </c>
      <c r="K6" s="13" t="s">
        <v>100</v>
      </c>
      <c r="L6" s="15" t="s">
        <v>101</v>
      </c>
    </row>
    <row r="7" spans="1:12" ht="27">
      <c r="A7" s="4" t="s">
        <v>108</v>
      </c>
      <c r="B7" t="s">
        <v>44</v>
      </c>
      <c r="C7" t="s">
        <v>45</v>
      </c>
      <c r="D7" s="13" t="s">
        <v>77</v>
      </c>
      <c r="E7" t="s">
        <v>62</v>
      </c>
      <c r="F7" t="s">
        <v>69</v>
      </c>
      <c r="G7" s="9">
        <v>524935000</v>
      </c>
      <c r="H7" s="9">
        <v>155455500</v>
      </c>
      <c r="I7" s="11">
        <v>30</v>
      </c>
      <c r="J7" t="s">
        <v>49</v>
      </c>
      <c r="K7" s="13" t="s">
        <v>109</v>
      </c>
      <c r="L7" s="15" t="s">
        <v>110</v>
      </c>
    </row>
    <row r="8" spans="1:12" ht="27">
      <c r="A8" s="4" t="s">
        <v>113</v>
      </c>
      <c r="B8" t="s">
        <v>44</v>
      </c>
      <c r="C8" t="s">
        <v>45</v>
      </c>
      <c r="D8" s="13" t="s">
        <v>114</v>
      </c>
      <c r="E8" t="s">
        <v>62</v>
      </c>
      <c r="F8" t="s">
        <v>69</v>
      </c>
      <c r="G8" s="9">
        <v>41165000</v>
      </c>
      <c r="H8" s="9">
        <v>30869100</v>
      </c>
      <c r="I8" s="11">
        <v>75</v>
      </c>
      <c r="J8" t="s">
        <v>49</v>
      </c>
      <c r="K8" s="13" t="s">
        <v>115</v>
      </c>
      <c r="L8" s="15" t="s">
        <v>110</v>
      </c>
    </row>
    <row r="9" spans="1:12">
      <c r="A9" s="4" t="s">
        <v>116</v>
      </c>
      <c r="B9" t="s">
        <v>44</v>
      </c>
      <c r="C9" t="s">
        <v>45</v>
      </c>
      <c r="D9" s="13" t="s">
        <v>71</v>
      </c>
      <c r="E9" t="s">
        <v>62</v>
      </c>
      <c r="F9" t="s">
        <v>69</v>
      </c>
      <c r="G9" s="9">
        <v>15000000</v>
      </c>
      <c r="H9" s="9">
        <v>9468633</v>
      </c>
      <c r="I9" s="11">
        <v>63</v>
      </c>
      <c r="J9" t="s">
        <v>49</v>
      </c>
      <c r="K9" s="13" t="s">
        <v>117</v>
      </c>
      <c r="L9" s="15" t="s">
        <v>110</v>
      </c>
    </row>
    <row r="10" spans="1:12" ht="54">
      <c r="A10" s="4" t="s">
        <v>43</v>
      </c>
      <c r="B10" t="s">
        <v>44</v>
      </c>
      <c r="C10" t="s">
        <v>45</v>
      </c>
      <c r="D10" s="13" t="s">
        <v>46</v>
      </c>
      <c r="E10" t="s">
        <v>47</v>
      </c>
      <c r="F10" t="s">
        <v>48</v>
      </c>
      <c r="G10" s="9">
        <v>70000000</v>
      </c>
      <c r="H10" s="9">
        <v>0</v>
      </c>
      <c r="I10" s="11">
        <v>0</v>
      </c>
      <c r="J10" t="s">
        <v>49</v>
      </c>
      <c r="K10" s="13" t="s">
        <v>50</v>
      </c>
      <c r="L10" s="15" t="s">
        <v>51</v>
      </c>
    </row>
    <row r="11" spans="1:12" ht="54">
      <c r="A11" s="4" t="s">
        <v>53</v>
      </c>
      <c r="B11" t="s">
        <v>44</v>
      </c>
      <c r="C11" t="s">
        <v>45</v>
      </c>
      <c r="D11" s="13" t="s">
        <v>46</v>
      </c>
      <c r="E11" t="s">
        <v>47</v>
      </c>
      <c r="F11" t="s">
        <v>48</v>
      </c>
      <c r="G11" s="9">
        <v>22500000</v>
      </c>
      <c r="H11" s="9">
        <v>0</v>
      </c>
      <c r="I11" s="11">
        <v>0</v>
      </c>
      <c r="J11" t="s">
        <v>49</v>
      </c>
      <c r="K11" s="13" t="s">
        <v>54</v>
      </c>
      <c r="L11" s="15" t="s">
        <v>51</v>
      </c>
    </row>
    <row r="12" spans="1:12" ht="40.5">
      <c r="A12" s="4" t="s">
        <v>55</v>
      </c>
      <c r="B12" t="s">
        <v>44</v>
      </c>
      <c r="C12" t="s">
        <v>45</v>
      </c>
      <c r="D12" s="13" t="s">
        <v>56</v>
      </c>
      <c r="E12" t="s">
        <v>47</v>
      </c>
      <c r="F12" t="s">
        <v>48</v>
      </c>
      <c r="G12" s="9">
        <v>3185000</v>
      </c>
      <c r="H12" s="9">
        <v>0</v>
      </c>
      <c r="I12" s="11">
        <v>0</v>
      </c>
      <c r="J12" t="s">
        <v>49</v>
      </c>
      <c r="K12" s="13" t="s">
        <v>57</v>
      </c>
      <c r="L12" s="15" t="s">
        <v>51</v>
      </c>
    </row>
    <row r="13" spans="1:12" ht="54">
      <c r="A13" s="4" t="s">
        <v>58</v>
      </c>
      <c r="B13" t="s">
        <v>44</v>
      </c>
      <c r="C13" t="s">
        <v>45</v>
      </c>
      <c r="D13" s="13" t="s">
        <v>46</v>
      </c>
      <c r="E13" t="s">
        <v>47</v>
      </c>
      <c r="F13" t="s">
        <v>48</v>
      </c>
      <c r="G13" s="9">
        <v>131982000</v>
      </c>
      <c r="H13" s="9">
        <v>0</v>
      </c>
      <c r="I13" s="11">
        <v>0</v>
      </c>
      <c r="J13" t="s">
        <v>49</v>
      </c>
      <c r="K13" s="13" t="s">
        <v>59</v>
      </c>
      <c r="L13" s="15" t="s">
        <v>51</v>
      </c>
    </row>
    <row r="14" spans="1:12" ht="54">
      <c r="A14" s="4" t="s">
        <v>65</v>
      </c>
      <c r="B14" t="s">
        <v>44</v>
      </c>
      <c r="C14" t="s">
        <v>45</v>
      </c>
      <c r="D14" s="13" t="s">
        <v>66</v>
      </c>
      <c r="E14" t="s">
        <v>47</v>
      </c>
      <c r="F14" t="s">
        <v>48</v>
      </c>
      <c r="G14" s="9">
        <v>7500000</v>
      </c>
      <c r="H14" s="9">
        <v>0</v>
      </c>
      <c r="I14" s="11">
        <v>0</v>
      </c>
      <c r="J14" t="s">
        <v>49</v>
      </c>
      <c r="K14" s="13" t="s">
        <v>67</v>
      </c>
      <c r="L14" s="15" t="s">
        <v>51</v>
      </c>
    </row>
    <row r="15" spans="1:12" ht="54">
      <c r="A15" s="4" t="s">
        <v>70</v>
      </c>
      <c r="B15" t="s">
        <v>44</v>
      </c>
      <c r="C15" t="s">
        <v>45</v>
      </c>
      <c r="D15" s="13" t="s">
        <v>71</v>
      </c>
      <c r="E15" t="s">
        <v>47</v>
      </c>
      <c r="F15" t="s">
        <v>48</v>
      </c>
      <c r="G15" s="9">
        <v>3000000</v>
      </c>
      <c r="H15" s="9">
        <v>0</v>
      </c>
      <c r="I15" s="11">
        <v>0</v>
      </c>
      <c r="J15" t="s">
        <v>49</v>
      </c>
      <c r="K15" s="13" t="s">
        <v>72</v>
      </c>
      <c r="L15" s="15" t="s">
        <v>51</v>
      </c>
    </row>
    <row r="16" spans="1:12" ht="54">
      <c r="A16" s="4" t="s">
        <v>73</v>
      </c>
      <c r="B16" t="s">
        <v>44</v>
      </c>
      <c r="C16" t="s">
        <v>45</v>
      </c>
      <c r="D16" s="13" t="s">
        <v>74</v>
      </c>
      <c r="E16" t="s">
        <v>47</v>
      </c>
      <c r="F16" t="s">
        <v>48</v>
      </c>
      <c r="G16" s="9">
        <v>1500000</v>
      </c>
      <c r="H16" s="9">
        <v>0</v>
      </c>
      <c r="I16" s="11">
        <v>0</v>
      </c>
      <c r="J16" t="s">
        <v>49</v>
      </c>
      <c r="K16" s="13" t="s">
        <v>75</v>
      </c>
      <c r="L16" s="15" t="s">
        <v>51</v>
      </c>
    </row>
    <row r="17" spans="1:12" ht="40.5">
      <c r="A17" s="4" t="s">
        <v>76</v>
      </c>
      <c r="B17" t="s">
        <v>44</v>
      </c>
      <c r="C17" t="s">
        <v>45</v>
      </c>
      <c r="D17" s="13" t="s">
        <v>77</v>
      </c>
      <c r="E17" t="s">
        <v>47</v>
      </c>
      <c r="F17" t="s">
        <v>48</v>
      </c>
      <c r="G17" s="9">
        <v>216513000</v>
      </c>
      <c r="H17" s="9">
        <v>0</v>
      </c>
      <c r="I17" s="11">
        <v>0</v>
      </c>
      <c r="J17" t="s">
        <v>78</v>
      </c>
      <c r="K17" s="13" t="s">
        <v>79</v>
      </c>
      <c r="L17" s="15" t="s">
        <v>80</v>
      </c>
    </row>
    <row r="18" spans="1:12" ht="40.5">
      <c r="A18" s="4" t="s">
        <v>81</v>
      </c>
      <c r="B18" t="s">
        <v>44</v>
      </c>
      <c r="C18" t="s">
        <v>45</v>
      </c>
      <c r="D18" s="13" t="s">
        <v>82</v>
      </c>
      <c r="E18" t="s">
        <v>47</v>
      </c>
      <c r="F18" t="s">
        <v>48</v>
      </c>
      <c r="G18" s="9">
        <v>210969000</v>
      </c>
      <c r="H18" s="9">
        <v>0</v>
      </c>
      <c r="I18" s="11">
        <v>0</v>
      </c>
      <c r="J18" t="s">
        <v>49</v>
      </c>
      <c r="K18" s="13" t="s">
        <v>84</v>
      </c>
      <c r="L18" s="15" t="s">
        <v>85</v>
      </c>
    </row>
    <row r="19" spans="1:12" ht="40.5">
      <c r="A19" s="4" t="s">
        <v>87</v>
      </c>
      <c r="B19" t="s">
        <v>44</v>
      </c>
      <c r="C19" t="s">
        <v>45</v>
      </c>
      <c r="D19" s="13" t="s">
        <v>77</v>
      </c>
      <c r="E19" t="s">
        <v>47</v>
      </c>
      <c r="F19" t="s">
        <v>48</v>
      </c>
      <c r="G19" s="9">
        <v>29700000</v>
      </c>
      <c r="H19" s="9">
        <v>0</v>
      </c>
      <c r="I19" s="11">
        <v>0</v>
      </c>
      <c r="J19" t="s">
        <v>49</v>
      </c>
      <c r="K19" s="13" t="s">
        <v>88</v>
      </c>
      <c r="L19" s="15" t="s">
        <v>85</v>
      </c>
    </row>
    <row r="20" spans="1:12" ht="27">
      <c r="A20" s="4" t="s">
        <v>89</v>
      </c>
      <c r="B20" t="s">
        <v>44</v>
      </c>
      <c r="C20" t="s">
        <v>45</v>
      </c>
      <c r="D20" s="13" t="s">
        <v>90</v>
      </c>
      <c r="E20" t="s">
        <v>91</v>
      </c>
      <c r="F20" t="s">
        <v>48</v>
      </c>
      <c r="G20" s="9">
        <v>276000000</v>
      </c>
      <c r="H20" s="9">
        <v>0</v>
      </c>
      <c r="I20" s="11">
        <v>0</v>
      </c>
      <c r="J20" t="s">
        <v>49</v>
      </c>
      <c r="K20" s="13" t="s">
        <v>92</v>
      </c>
      <c r="L20" s="15" t="s">
        <v>85</v>
      </c>
    </row>
    <row r="21" spans="1:12" ht="40.5">
      <c r="A21" s="4" t="s">
        <v>93</v>
      </c>
      <c r="B21" t="s">
        <v>44</v>
      </c>
      <c r="C21" t="s">
        <v>45</v>
      </c>
      <c r="D21" s="13" t="s">
        <v>77</v>
      </c>
      <c r="E21" t="s">
        <v>47</v>
      </c>
      <c r="F21" t="s">
        <v>48</v>
      </c>
      <c r="G21" s="9">
        <v>47610000</v>
      </c>
      <c r="H21" s="9">
        <v>0</v>
      </c>
      <c r="I21" s="11">
        <v>0</v>
      </c>
      <c r="J21" t="s">
        <v>49</v>
      </c>
      <c r="K21" s="13" t="s">
        <v>94</v>
      </c>
      <c r="L21" s="15" t="s">
        <v>85</v>
      </c>
    </row>
    <row r="22" spans="1:12" ht="27">
      <c r="A22" s="4" t="s">
        <v>95</v>
      </c>
      <c r="B22" t="s">
        <v>44</v>
      </c>
      <c r="C22" t="s">
        <v>45</v>
      </c>
      <c r="D22" s="13" t="s">
        <v>96</v>
      </c>
      <c r="E22" t="s">
        <v>47</v>
      </c>
      <c r="F22" t="s">
        <v>48</v>
      </c>
      <c r="G22" s="9">
        <v>6000000</v>
      </c>
      <c r="H22" s="9">
        <v>0</v>
      </c>
      <c r="I22" s="11">
        <v>0</v>
      </c>
      <c r="J22" t="s">
        <v>49</v>
      </c>
      <c r="K22" s="13" t="s">
        <v>97</v>
      </c>
      <c r="L22" s="15" t="s">
        <v>85</v>
      </c>
    </row>
    <row r="23" spans="1:12" ht="27">
      <c r="A23" s="4" t="s">
        <v>102</v>
      </c>
      <c r="B23" t="s">
        <v>44</v>
      </c>
      <c r="C23" t="s">
        <v>45</v>
      </c>
      <c r="D23" s="13" t="s">
        <v>103</v>
      </c>
      <c r="E23" t="s">
        <v>91</v>
      </c>
      <c r="F23" t="s">
        <v>48</v>
      </c>
      <c r="G23" s="9">
        <v>120000000</v>
      </c>
      <c r="H23" s="9">
        <v>0</v>
      </c>
      <c r="I23" s="11">
        <v>0</v>
      </c>
      <c r="J23" t="s">
        <v>49</v>
      </c>
      <c r="K23" s="13" t="s">
        <v>104</v>
      </c>
      <c r="L23" s="15" t="s">
        <v>85</v>
      </c>
    </row>
    <row r="24" spans="1:12" ht="40.5">
      <c r="A24" s="4" t="s">
        <v>105</v>
      </c>
      <c r="B24" t="s">
        <v>44</v>
      </c>
      <c r="C24" t="s">
        <v>45</v>
      </c>
      <c r="D24" s="13" t="s">
        <v>106</v>
      </c>
      <c r="E24" t="s">
        <v>47</v>
      </c>
      <c r="F24" t="s">
        <v>48</v>
      </c>
      <c r="G24" s="9">
        <v>103360000</v>
      </c>
      <c r="H24" s="9">
        <v>0</v>
      </c>
      <c r="I24" s="11">
        <v>0</v>
      </c>
      <c r="J24" t="s">
        <v>49</v>
      </c>
      <c r="K24" s="13" t="s">
        <v>107</v>
      </c>
      <c r="L24" s="15" t="s">
        <v>85</v>
      </c>
    </row>
    <row r="25" spans="1:12" ht="40.5">
      <c r="A25" s="6" t="s">
        <v>111</v>
      </c>
      <c r="B25" s="7" t="s">
        <v>44</v>
      </c>
      <c r="C25" s="7" t="s">
        <v>45</v>
      </c>
      <c r="D25" s="14" t="s">
        <v>99</v>
      </c>
      <c r="E25" s="7" t="s">
        <v>47</v>
      </c>
      <c r="F25" s="7" t="s">
        <v>48</v>
      </c>
      <c r="G25" s="10">
        <v>31119000</v>
      </c>
      <c r="H25" s="10">
        <v>0</v>
      </c>
      <c r="I25" s="12">
        <v>0</v>
      </c>
      <c r="J25" s="7" t="s">
        <v>49</v>
      </c>
      <c r="K25" s="14" t="s">
        <v>112</v>
      </c>
      <c r="L25" s="16" t="s">
        <v>110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Perbandingan</vt:lpstr>
      <vt:lpstr>Perubahan</vt:lpstr>
      <vt:lpstr>Data_05_Agu</vt:lpstr>
      <vt:lpstr>Data_12_Agu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UKPBJ -</cp:lastModifiedBy>
  <dcterms:modified xsi:type="dcterms:W3CDTF">2026-08-18T06:07:21Z</dcterms:modified>
</cp:coreProperties>
</file>