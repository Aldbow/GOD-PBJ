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CF50427-4D6B-439F-A290-941179310E9A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Ringkasan" sheetId="1" r:id="rId1"/>
    <sheet name="Perbandingan" sheetId="2" r:id="rId2"/>
    <sheet name="Perubahan" sheetId="3" r:id="rId3"/>
    <sheet name="Data_05_Agu" sheetId="4" r:id="rId4"/>
    <sheet name="Data_12_Agu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6" i="3" l="1"/>
  <c r="N56" i="3"/>
  <c r="K56" i="3"/>
  <c r="Q55" i="3"/>
  <c r="N55" i="3"/>
  <c r="K55" i="3"/>
  <c r="Q54" i="3"/>
  <c r="N54" i="3"/>
  <c r="K54" i="3"/>
  <c r="Q53" i="3"/>
  <c r="N53" i="3"/>
  <c r="K53" i="3"/>
  <c r="Q52" i="3"/>
  <c r="N52" i="3"/>
  <c r="K52" i="3"/>
  <c r="Q51" i="3"/>
  <c r="N51" i="3"/>
  <c r="K51" i="3"/>
  <c r="Q50" i="3"/>
  <c r="N50" i="3"/>
  <c r="K50" i="3"/>
  <c r="Q49" i="3"/>
  <c r="N49" i="3"/>
  <c r="K49" i="3"/>
  <c r="Q48" i="3"/>
  <c r="N48" i="3"/>
  <c r="K48" i="3"/>
  <c r="Q47" i="3"/>
  <c r="N47" i="3"/>
  <c r="K47" i="3"/>
  <c r="Q46" i="3"/>
  <c r="N46" i="3"/>
  <c r="K46" i="3"/>
  <c r="Q45" i="3"/>
  <c r="N45" i="3"/>
  <c r="K45" i="3"/>
  <c r="Q44" i="3"/>
  <c r="N44" i="3"/>
  <c r="K44" i="3"/>
  <c r="Q43" i="3"/>
  <c r="N43" i="3"/>
  <c r="K43" i="3"/>
  <c r="Q42" i="3"/>
  <c r="N42" i="3"/>
  <c r="K42" i="3"/>
  <c r="Q41" i="3"/>
  <c r="N41" i="3"/>
  <c r="K41" i="3"/>
  <c r="Q40" i="3"/>
  <c r="N40" i="3"/>
  <c r="K40" i="3"/>
  <c r="Q39" i="3"/>
  <c r="N39" i="3"/>
  <c r="K39" i="3"/>
  <c r="Q38" i="3"/>
  <c r="N38" i="3"/>
  <c r="K38" i="3"/>
  <c r="Q37" i="3"/>
  <c r="N37" i="3"/>
  <c r="K37" i="3"/>
  <c r="Q36" i="3"/>
  <c r="N36" i="3"/>
  <c r="K36" i="3"/>
  <c r="Q35" i="3"/>
  <c r="N35" i="3"/>
  <c r="K35" i="3"/>
  <c r="Q34" i="3"/>
  <c r="N34" i="3"/>
  <c r="K34" i="3"/>
  <c r="Q33" i="3"/>
  <c r="N33" i="3"/>
  <c r="K33" i="3"/>
  <c r="Q32" i="3"/>
  <c r="N32" i="3"/>
  <c r="K32" i="3"/>
  <c r="Q31" i="3"/>
  <c r="N31" i="3"/>
  <c r="K31" i="3"/>
  <c r="Q30" i="3"/>
  <c r="N30" i="3"/>
  <c r="K30" i="3"/>
  <c r="Q29" i="3"/>
  <c r="N29" i="3"/>
  <c r="K29" i="3"/>
  <c r="Q28" i="3"/>
  <c r="N28" i="3"/>
  <c r="K28" i="3"/>
  <c r="Q27" i="3"/>
  <c r="N27" i="3"/>
  <c r="K27" i="3"/>
  <c r="Q26" i="3"/>
  <c r="N26" i="3"/>
  <c r="K26" i="3"/>
  <c r="Q25" i="3"/>
  <c r="N25" i="3"/>
  <c r="K25" i="3"/>
  <c r="Q24" i="3"/>
  <c r="N24" i="3"/>
  <c r="K24" i="3"/>
  <c r="Q23" i="3"/>
  <c r="N23" i="3"/>
  <c r="K23" i="3"/>
  <c r="Q22" i="3"/>
  <c r="N22" i="3"/>
  <c r="K22" i="3"/>
  <c r="Q21" i="3"/>
  <c r="N21" i="3"/>
  <c r="K21" i="3"/>
  <c r="Q20" i="3"/>
  <c r="N20" i="3"/>
  <c r="K20" i="3"/>
  <c r="Q19" i="3"/>
  <c r="N19" i="3"/>
  <c r="K19" i="3"/>
  <c r="Q18" i="3"/>
  <c r="N18" i="3"/>
  <c r="K18" i="3"/>
  <c r="Q17" i="3"/>
  <c r="N17" i="3"/>
  <c r="K17" i="3"/>
  <c r="Q16" i="3"/>
  <c r="N16" i="3"/>
  <c r="K16" i="3"/>
  <c r="Q15" i="3"/>
  <c r="N15" i="3"/>
  <c r="K15" i="3"/>
  <c r="Q14" i="3"/>
  <c r="N14" i="3"/>
  <c r="K14" i="3"/>
  <c r="Q13" i="3"/>
  <c r="N13" i="3"/>
  <c r="K13" i="3"/>
  <c r="Q12" i="3"/>
  <c r="N12" i="3"/>
  <c r="K12" i="3"/>
  <c r="Q11" i="3"/>
  <c r="N11" i="3"/>
  <c r="K11" i="3"/>
  <c r="Q10" i="3"/>
  <c r="N10" i="3"/>
  <c r="K10" i="3"/>
  <c r="Q9" i="3"/>
  <c r="N9" i="3"/>
  <c r="K9" i="3"/>
  <c r="Q8" i="3"/>
  <c r="N8" i="3"/>
  <c r="K8" i="3"/>
  <c r="Q7" i="3"/>
  <c r="N7" i="3"/>
  <c r="K7" i="3"/>
  <c r="Q6" i="3"/>
  <c r="N6" i="3"/>
  <c r="K6" i="3"/>
  <c r="Q5" i="3"/>
  <c r="N5" i="3"/>
  <c r="K5" i="3"/>
  <c r="Q162" i="2"/>
  <c r="N162" i="2"/>
  <c r="K162" i="2"/>
  <c r="Q161" i="2"/>
  <c r="N161" i="2"/>
  <c r="K161" i="2"/>
  <c r="Q160" i="2"/>
  <c r="N160" i="2"/>
  <c r="K160" i="2"/>
  <c r="Q159" i="2"/>
  <c r="N159" i="2"/>
  <c r="K159" i="2"/>
  <c r="Q158" i="2"/>
  <c r="N158" i="2"/>
  <c r="K158" i="2"/>
  <c r="Q157" i="2"/>
  <c r="N157" i="2"/>
  <c r="K157" i="2"/>
  <c r="Q156" i="2"/>
  <c r="N156" i="2"/>
  <c r="K156" i="2"/>
  <c r="Q155" i="2"/>
  <c r="N155" i="2"/>
  <c r="K155" i="2"/>
  <c r="Q154" i="2"/>
  <c r="N154" i="2"/>
  <c r="K154" i="2"/>
  <c r="Q153" i="2"/>
  <c r="N153" i="2"/>
  <c r="K153" i="2"/>
  <c r="Q152" i="2"/>
  <c r="N152" i="2"/>
  <c r="K152" i="2"/>
  <c r="Q151" i="2"/>
  <c r="N151" i="2"/>
  <c r="K151" i="2"/>
  <c r="Q150" i="2"/>
  <c r="N150" i="2"/>
  <c r="K150" i="2"/>
  <c r="Q149" i="2"/>
  <c r="N149" i="2"/>
  <c r="K149" i="2"/>
  <c r="Q148" i="2"/>
  <c r="N148" i="2"/>
  <c r="K148" i="2"/>
  <c r="Q147" i="2"/>
  <c r="N147" i="2"/>
  <c r="K147" i="2"/>
  <c r="Q146" i="2"/>
  <c r="N146" i="2"/>
  <c r="K146" i="2"/>
  <c r="Q145" i="2"/>
  <c r="N145" i="2"/>
  <c r="K145" i="2"/>
  <c r="Q144" i="2"/>
  <c r="N144" i="2"/>
  <c r="K144" i="2"/>
  <c r="Q143" i="2"/>
  <c r="N143" i="2"/>
  <c r="K143" i="2"/>
  <c r="Q142" i="2"/>
  <c r="N142" i="2"/>
  <c r="K142" i="2"/>
  <c r="Q141" i="2"/>
  <c r="N141" i="2"/>
  <c r="K141" i="2"/>
  <c r="Q140" i="2"/>
  <c r="N140" i="2"/>
  <c r="K140" i="2"/>
  <c r="Q139" i="2"/>
  <c r="N139" i="2"/>
  <c r="K139" i="2"/>
  <c r="Q138" i="2"/>
  <c r="N138" i="2"/>
  <c r="K138" i="2"/>
  <c r="Q137" i="2"/>
  <c r="N137" i="2"/>
  <c r="K137" i="2"/>
  <c r="Q136" i="2"/>
  <c r="N136" i="2"/>
  <c r="K136" i="2"/>
  <c r="Q135" i="2"/>
  <c r="N135" i="2"/>
  <c r="K135" i="2"/>
  <c r="Q134" i="2"/>
  <c r="N134" i="2"/>
  <c r="K134" i="2"/>
  <c r="Q133" i="2"/>
  <c r="N133" i="2"/>
  <c r="K133" i="2"/>
  <c r="Q132" i="2"/>
  <c r="N132" i="2"/>
  <c r="K132" i="2"/>
  <c r="Q131" i="2"/>
  <c r="N131" i="2"/>
  <c r="K131" i="2"/>
  <c r="Q130" i="2"/>
  <c r="N130" i="2"/>
  <c r="K130" i="2"/>
  <c r="Q129" i="2"/>
  <c r="N129" i="2"/>
  <c r="K129" i="2"/>
  <c r="Q128" i="2"/>
  <c r="N128" i="2"/>
  <c r="K128" i="2"/>
  <c r="Q127" i="2"/>
  <c r="N127" i="2"/>
  <c r="K127" i="2"/>
  <c r="Q126" i="2"/>
  <c r="N126" i="2"/>
  <c r="K126" i="2"/>
  <c r="Q125" i="2"/>
  <c r="N125" i="2"/>
  <c r="K125" i="2"/>
  <c r="Q124" i="2"/>
  <c r="N124" i="2"/>
  <c r="K124" i="2"/>
  <c r="Q123" i="2"/>
  <c r="N123" i="2"/>
  <c r="K123" i="2"/>
  <c r="Q122" i="2"/>
  <c r="N122" i="2"/>
  <c r="K122" i="2"/>
  <c r="Q121" i="2"/>
  <c r="N121" i="2"/>
  <c r="K121" i="2"/>
  <c r="Q120" i="2"/>
  <c r="N120" i="2"/>
  <c r="K120" i="2"/>
  <c r="Q119" i="2"/>
  <c r="N119" i="2"/>
  <c r="K119" i="2"/>
  <c r="Q118" i="2"/>
  <c r="N118" i="2"/>
  <c r="K118" i="2"/>
  <c r="Q117" i="2"/>
  <c r="N117" i="2"/>
  <c r="K117" i="2"/>
  <c r="Q116" i="2"/>
  <c r="N116" i="2"/>
  <c r="K116" i="2"/>
  <c r="Q115" i="2"/>
  <c r="N115" i="2"/>
  <c r="K115" i="2"/>
  <c r="Q114" i="2"/>
  <c r="N114" i="2"/>
  <c r="K114" i="2"/>
  <c r="Q113" i="2"/>
  <c r="N113" i="2"/>
  <c r="K113" i="2"/>
  <c r="Q112" i="2"/>
  <c r="N112" i="2"/>
  <c r="K112" i="2"/>
  <c r="Q111" i="2"/>
  <c r="N111" i="2"/>
  <c r="K111" i="2"/>
  <c r="Q110" i="2"/>
  <c r="N110" i="2"/>
  <c r="K110" i="2"/>
  <c r="Q109" i="2"/>
  <c r="N109" i="2"/>
  <c r="K109" i="2"/>
  <c r="Q108" i="2"/>
  <c r="N108" i="2"/>
  <c r="K108" i="2"/>
  <c r="Q107" i="2"/>
  <c r="N107" i="2"/>
  <c r="K107" i="2"/>
  <c r="Q106" i="2"/>
  <c r="N106" i="2"/>
  <c r="K106" i="2"/>
  <c r="Q105" i="2"/>
  <c r="N105" i="2"/>
  <c r="K105" i="2"/>
  <c r="Q104" i="2"/>
  <c r="N104" i="2"/>
  <c r="K104" i="2"/>
  <c r="Q103" i="2"/>
  <c r="N103" i="2"/>
  <c r="K103" i="2"/>
  <c r="Q102" i="2"/>
  <c r="N102" i="2"/>
  <c r="K102" i="2"/>
  <c r="Q101" i="2"/>
  <c r="N101" i="2"/>
  <c r="K101" i="2"/>
  <c r="Q100" i="2"/>
  <c r="N100" i="2"/>
  <c r="K100" i="2"/>
  <c r="Q99" i="2"/>
  <c r="N99" i="2"/>
  <c r="K99" i="2"/>
  <c r="Q98" i="2"/>
  <c r="N98" i="2"/>
  <c r="K98" i="2"/>
  <c r="Q97" i="2"/>
  <c r="N97" i="2"/>
  <c r="K97" i="2"/>
  <c r="Q96" i="2"/>
  <c r="N96" i="2"/>
  <c r="K96" i="2"/>
  <c r="Q95" i="2"/>
  <c r="N95" i="2"/>
  <c r="K95" i="2"/>
  <c r="Q94" i="2"/>
  <c r="N94" i="2"/>
  <c r="K94" i="2"/>
  <c r="Q93" i="2"/>
  <c r="N93" i="2"/>
  <c r="K93" i="2"/>
  <c r="Q92" i="2"/>
  <c r="N92" i="2"/>
  <c r="K92" i="2"/>
  <c r="Q91" i="2"/>
  <c r="N91" i="2"/>
  <c r="K91" i="2"/>
  <c r="Q90" i="2"/>
  <c r="N90" i="2"/>
  <c r="K90" i="2"/>
  <c r="Q89" i="2"/>
  <c r="N89" i="2"/>
  <c r="K89" i="2"/>
  <c r="Q88" i="2"/>
  <c r="N88" i="2"/>
  <c r="K88" i="2"/>
  <c r="Q87" i="2"/>
  <c r="N87" i="2"/>
  <c r="K87" i="2"/>
  <c r="Q86" i="2"/>
  <c r="N86" i="2"/>
  <c r="K86" i="2"/>
  <c r="Q85" i="2"/>
  <c r="N85" i="2"/>
  <c r="K85" i="2"/>
  <c r="Q84" i="2"/>
  <c r="N84" i="2"/>
  <c r="K84" i="2"/>
  <c r="Q83" i="2"/>
  <c r="N83" i="2"/>
  <c r="K83" i="2"/>
  <c r="Q82" i="2"/>
  <c r="N82" i="2"/>
  <c r="K82" i="2"/>
  <c r="Q81" i="2"/>
  <c r="N81" i="2"/>
  <c r="K81" i="2"/>
  <c r="Q80" i="2"/>
  <c r="N80" i="2"/>
  <c r="K80" i="2"/>
  <c r="Q79" i="2"/>
  <c r="N79" i="2"/>
  <c r="K79" i="2"/>
  <c r="Q78" i="2"/>
  <c r="N78" i="2"/>
  <c r="K78" i="2"/>
  <c r="Q77" i="2"/>
  <c r="N77" i="2"/>
  <c r="K77" i="2"/>
  <c r="Q76" i="2"/>
  <c r="N76" i="2"/>
  <c r="K76" i="2"/>
  <c r="Q75" i="2"/>
  <c r="N75" i="2"/>
  <c r="K75" i="2"/>
  <c r="Q74" i="2"/>
  <c r="N74" i="2"/>
  <c r="K74" i="2"/>
  <c r="Q73" i="2"/>
  <c r="N73" i="2"/>
  <c r="K73" i="2"/>
  <c r="Q72" i="2"/>
  <c r="N72" i="2"/>
  <c r="K72" i="2"/>
  <c r="Q71" i="2"/>
  <c r="N71" i="2"/>
  <c r="K71" i="2"/>
  <c r="Q70" i="2"/>
  <c r="N70" i="2"/>
  <c r="K70" i="2"/>
  <c r="Q69" i="2"/>
  <c r="N69" i="2"/>
  <c r="K69" i="2"/>
  <c r="Q68" i="2"/>
  <c r="N68" i="2"/>
  <c r="K68" i="2"/>
  <c r="Q67" i="2"/>
  <c r="N67" i="2"/>
  <c r="K67" i="2"/>
  <c r="Q66" i="2"/>
  <c r="N66" i="2"/>
  <c r="K66" i="2"/>
  <c r="Q65" i="2"/>
  <c r="N65" i="2"/>
  <c r="K65" i="2"/>
  <c r="Q64" i="2"/>
  <c r="N64" i="2"/>
  <c r="K64" i="2"/>
  <c r="Q63" i="2"/>
  <c r="N63" i="2"/>
  <c r="K63" i="2"/>
  <c r="Q62" i="2"/>
  <c r="N62" i="2"/>
  <c r="K62" i="2"/>
  <c r="Q61" i="2"/>
  <c r="N61" i="2"/>
  <c r="K61" i="2"/>
  <c r="Q60" i="2"/>
  <c r="N60" i="2"/>
  <c r="K60" i="2"/>
  <c r="Q59" i="2"/>
  <c r="N59" i="2"/>
  <c r="K59" i="2"/>
  <c r="Q58" i="2"/>
  <c r="N58" i="2"/>
  <c r="K58" i="2"/>
  <c r="Q57" i="2"/>
  <c r="N57" i="2"/>
  <c r="K57" i="2"/>
  <c r="Q56" i="2"/>
  <c r="N56" i="2"/>
  <c r="K56" i="2"/>
  <c r="Q55" i="2"/>
  <c r="N55" i="2"/>
  <c r="K55" i="2"/>
  <c r="Q54" i="2"/>
  <c r="N54" i="2"/>
  <c r="K54" i="2"/>
  <c r="Q53" i="2"/>
  <c r="N53" i="2"/>
  <c r="K53" i="2"/>
  <c r="Q52" i="2"/>
  <c r="N52" i="2"/>
  <c r="K52" i="2"/>
  <c r="Q51" i="2"/>
  <c r="N51" i="2"/>
  <c r="K51" i="2"/>
  <c r="Q50" i="2"/>
  <c r="N50" i="2"/>
  <c r="K50" i="2"/>
  <c r="Q49" i="2"/>
  <c r="N49" i="2"/>
  <c r="K49" i="2"/>
  <c r="Q48" i="2"/>
  <c r="N48" i="2"/>
  <c r="K48" i="2"/>
  <c r="Q47" i="2"/>
  <c r="N47" i="2"/>
  <c r="K47" i="2"/>
  <c r="Q46" i="2"/>
  <c r="N46" i="2"/>
  <c r="K46" i="2"/>
  <c r="Q45" i="2"/>
  <c r="N45" i="2"/>
  <c r="K45" i="2"/>
  <c r="Q44" i="2"/>
  <c r="N44" i="2"/>
  <c r="K44" i="2"/>
  <c r="Q43" i="2"/>
  <c r="N43" i="2"/>
  <c r="K43" i="2"/>
  <c r="Q42" i="2"/>
  <c r="N42" i="2"/>
  <c r="K42" i="2"/>
  <c r="Q41" i="2"/>
  <c r="N41" i="2"/>
  <c r="K41" i="2"/>
  <c r="Q40" i="2"/>
  <c r="N40" i="2"/>
  <c r="K40" i="2"/>
  <c r="Q39" i="2"/>
  <c r="N39" i="2"/>
  <c r="K39" i="2"/>
  <c r="Q38" i="2"/>
  <c r="N38" i="2"/>
  <c r="K38" i="2"/>
  <c r="Q37" i="2"/>
  <c r="N37" i="2"/>
  <c r="K37" i="2"/>
  <c r="Q36" i="2"/>
  <c r="N36" i="2"/>
  <c r="K36" i="2"/>
  <c r="Q35" i="2"/>
  <c r="N35" i="2"/>
  <c r="K35" i="2"/>
  <c r="Q34" i="2"/>
  <c r="N34" i="2"/>
  <c r="K34" i="2"/>
  <c r="Q33" i="2"/>
  <c r="N33" i="2"/>
  <c r="K33" i="2"/>
  <c r="Q32" i="2"/>
  <c r="N32" i="2"/>
  <c r="K32" i="2"/>
  <c r="Q31" i="2"/>
  <c r="N31" i="2"/>
  <c r="K31" i="2"/>
  <c r="Q30" i="2"/>
  <c r="N30" i="2"/>
  <c r="K30" i="2"/>
  <c r="Q29" i="2"/>
  <c r="N29" i="2"/>
  <c r="K29" i="2"/>
  <c r="Q28" i="2"/>
  <c r="N28" i="2"/>
  <c r="K28" i="2"/>
  <c r="Q27" i="2"/>
  <c r="N27" i="2"/>
  <c r="K27" i="2"/>
  <c r="Q26" i="2"/>
  <c r="N26" i="2"/>
  <c r="K26" i="2"/>
  <c r="Q25" i="2"/>
  <c r="N25" i="2"/>
  <c r="K25" i="2"/>
  <c r="Q24" i="2"/>
  <c r="N24" i="2"/>
  <c r="K24" i="2"/>
  <c r="Q23" i="2"/>
  <c r="N23" i="2"/>
  <c r="K23" i="2"/>
  <c r="Q22" i="2"/>
  <c r="N22" i="2"/>
  <c r="K22" i="2"/>
  <c r="Q21" i="2"/>
  <c r="N21" i="2"/>
  <c r="K21" i="2"/>
  <c r="Q20" i="2"/>
  <c r="N20" i="2"/>
  <c r="K20" i="2"/>
  <c r="Q19" i="2"/>
  <c r="N19" i="2"/>
  <c r="K19" i="2"/>
  <c r="Q18" i="2"/>
  <c r="N18" i="2"/>
  <c r="K18" i="2"/>
  <c r="Q17" i="2"/>
  <c r="N17" i="2"/>
  <c r="K17" i="2"/>
  <c r="Q16" i="2"/>
  <c r="N16" i="2"/>
  <c r="K16" i="2"/>
  <c r="Q15" i="2"/>
  <c r="N15" i="2"/>
  <c r="K15" i="2"/>
  <c r="Q14" i="2"/>
  <c r="N14" i="2"/>
  <c r="K14" i="2"/>
  <c r="Q13" i="2"/>
  <c r="N13" i="2"/>
  <c r="K13" i="2"/>
  <c r="Q12" i="2"/>
  <c r="N12" i="2"/>
  <c r="K12" i="2"/>
  <c r="Q11" i="2"/>
  <c r="N11" i="2"/>
  <c r="K11" i="2"/>
  <c r="Q10" i="2"/>
  <c r="N10" i="2"/>
  <c r="K10" i="2"/>
  <c r="Q9" i="2"/>
  <c r="N9" i="2"/>
  <c r="K9" i="2"/>
  <c r="Q8" i="2"/>
  <c r="N8" i="2"/>
  <c r="K8" i="2"/>
  <c r="Q7" i="2"/>
  <c r="N7" i="2"/>
  <c r="K7" i="2"/>
  <c r="Q6" i="2"/>
  <c r="N6" i="2"/>
  <c r="K6" i="2"/>
  <c r="Q5" i="2"/>
  <c r="N5" i="2"/>
  <c r="K5" i="2"/>
  <c r="B20" i="1"/>
  <c r="B19" i="1"/>
  <c r="C15" i="1"/>
  <c r="B15" i="1"/>
  <c r="H14" i="1"/>
  <c r="G14" i="1"/>
  <c r="C14" i="1"/>
  <c r="B14" i="1"/>
  <c r="H13" i="1"/>
  <c r="G13" i="1"/>
  <c r="C13" i="1"/>
  <c r="B13" i="1"/>
  <c r="H12" i="1"/>
  <c r="G12" i="1"/>
  <c r="C12" i="1"/>
  <c r="B12" i="1"/>
  <c r="G8" i="1"/>
  <c r="G7" i="1"/>
  <c r="C7" i="1"/>
  <c r="C8" i="1" s="1"/>
  <c r="B7" i="1"/>
  <c r="G6" i="1"/>
  <c r="C6" i="1"/>
  <c r="D6" i="1" s="1"/>
  <c r="B6" i="1"/>
  <c r="B8" i="1" s="1"/>
  <c r="G5" i="1"/>
  <c r="C5" i="1"/>
  <c r="D5" i="1" s="1"/>
  <c r="B5" i="1"/>
  <c r="D8" i="1" l="1"/>
  <c r="D7" i="1"/>
</calcChain>
</file>

<file path=xl/sharedStrings.xml><?xml version="1.0" encoding="utf-8"?>
<sst xmlns="http://schemas.openxmlformats.org/spreadsheetml/2006/main" count="4490" uniqueCount="493">
  <si>
    <t>Ringkasan Perbandingan Pengadaan BBPVP Bandung</t>
  </si>
  <si>
    <t>Indikator</t>
  </si>
  <si>
    <t>5 Agustus 2026</t>
  </si>
  <si>
    <t>Perubahan</t>
  </si>
  <si>
    <t>Kategori Perubahan</t>
  </si>
  <si>
    <t>Jumlah</t>
  </si>
  <si>
    <t>Keterangan</t>
  </si>
  <si>
    <t>Jumlah Paket</t>
  </si>
  <si>
    <t>Total Pagu (Rp)</t>
  </si>
  <si>
    <t>Total Realisasi (Rp)</t>
  </si>
  <si>
    <t>BERUBAH</t>
  </si>
  <si>
    <t>Kode RUP sama, minimal satu field berubah</t>
  </si>
  <si>
    <t>Realisasi terhadap Pagu</t>
  </si>
  <si>
    <t>TETAP</t>
  </si>
  <si>
    <t>Tidak ada perubahan data</t>
  </si>
  <si>
    <t>Status</t>
  </si>
  <si>
    <t>5 Agustus</t>
  </si>
  <si>
    <t>Metode</t>
  </si>
  <si>
    <t>BELUM REALISASI</t>
  </si>
  <si>
    <t>E-Purchasing</t>
  </si>
  <si>
    <t>ON_PROCESS</t>
  </si>
  <si>
    <t>Pengadaan Langsung</t>
  </si>
  <si>
    <t>COMPLETED</t>
  </si>
  <si>
    <t>Dikecualikan</t>
  </si>
  <si>
    <t>PAYMENT_OUTSIDE_SYSTEM</t>
  </si>
  <si>
    <t>Transisi Status Menonjol</t>
  </si>
  <si>
    <t>Catatan</t>
  </si>
  <si>
    <t>Catatan Analitis</t>
  </si>
  <si>
    <t>COMPLETED → BELUM REALISASI</t>
  </si>
  <si>
    <t>Perlu ditelusuri karena dapat menyebabkan penurunan nilai realisasi pada snapshot terbaru.</t>
  </si>
  <si>
    <t>Penurunan total realisasi terutama perlu ditelusuri pada paket yang berubah dari COMPLETED menjadi BELUM REALISASI. Gunakan sheet Perubahan untuk melihat Kode RUP dan nilai sebelum/sesudah.</t>
  </si>
  <si>
    <t>BELUM REALISASI → ON_PROCESS</t>
  </si>
  <si>
    <t>Menunjukkan paket yang mulai memiliki proses/realisasi pada snapshot terbaru.</t>
  </si>
  <si>
    <t>Kode RUP</t>
  </si>
  <si>
    <t>Field Berubah</t>
  </si>
  <si>
    <t>Nama Paket</t>
  </si>
  <si>
    <t>Metode 05 Agu</t>
  </si>
  <si>
    <t>Status 05 Agu</t>
  </si>
  <si>
    <t>Pagu 05 Agu (Rp)</t>
  </si>
  <si>
    <t>Δ Pagu (Rp)</t>
  </si>
  <si>
    <t>Realisasi 05 Agu (Rp)</t>
  </si>
  <si>
    <t>Δ Realisasi (Rp)</t>
  </si>
  <si>
    <t>Realisasi 05 Agu (%)</t>
  </si>
  <si>
    <t>Δ Realisasi (pp)</t>
  </si>
  <si>
    <t>62511623</t>
  </si>
  <si>
    <t>-</t>
  </si>
  <si>
    <t>Belanja Peralatan dan Mesin Ekstrakomptabel</t>
  </si>
  <si>
    <t>62511624</t>
  </si>
  <si>
    <t>Belanja Jasa Langganan Internet</t>
  </si>
  <si>
    <t>62511627</t>
  </si>
  <si>
    <t>Belanja Langganan Telepon</t>
  </si>
  <si>
    <t>62511628</t>
  </si>
  <si>
    <t>Belanja Pemeliharaan Kendaraan</t>
  </si>
  <si>
    <t>62511633</t>
  </si>
  <si>
    <t>Belanja Langganan Listrik</t>
  </si>
  <si>
    <t>62511634</t>
  </si>
  <si>
    <t>Belanja Pemeliharaan Jaringan</t>
  </si>
  <si>
    <t>62796402</t>
  </si>
  <si>
    <t>Jasa Outsourching Security</t>
  </si>
  <si>
    <t>63628978</t>
  </si>
  <si>
    <t>Modul Kerjasama</t>
  </si>
  <si>
    <t>63628981</t>
  </si>
  <si>
    <t>Bahan Pelatihan Penugasan/ Kerjasama</t>
  </si>
  <si>
    <t>63628982</t>
  </si>
  <si>
    <t>Pakaian Kerja Kerjasama</t>
  </si>
  <si>
    <t>63628984</t>
  </si>
  <si>
    <t>Belanja Konsumsi Peserta Pelatihan  Penugasan/ Kerjasama (Hinode</t>
  </si>
  <si>
    <t>63628985</t>
  </si>
  <si>
    <t>Dokumentasi dan Pelaporan Kerjasama (Hinode)</t>
  </si>
  <si>
    <t>63629681</t>
  </si>
  <si>
    <t>Pagu (Rp)</t>
  </si>
  <si>
    <t>Bahan Pelatihan Tailor Made Training (RM)</t>
  </si>
  <si>
    <t>63629682</t>
  </si>
  <si>
    <t>Dokumentasi dan Pelaporan Tailor Made Training (PNBP)</t>
  </si>
  <si>
    <t>63629683</t>
  </si>
  <si>
    <t>Pagu (Rp), Realisasi (%), Status Kurasi AI, Catatan Kurasi AI, Rekomendasi Kurasi AI</t>
  </si>
  <si>
    <t>Bahan Pelatihan Tailor Made Training (PNBP)</t>
  </si>
  <si>
    <t>63629684</t>
  </si>
  <si>
    <t>Dokumentasi dan Pelaporan Tailor Made Training (RM)</t>
  </si>
  <si>
    <t>63629685</t>
  </si>
  <si>
    <t>Nama Paket, Pagu (Rp)</t>
  </si>
  <si>
    <t>Konsumsi Peserta Pelatihan (RM)</t>
  </si>
  <si>
    <t>63629686</t>
  </si>
  <si>
    <t>Konsumsi Peserta Pelatihan Tailor Made Training (PNBP)</t>
  </si>
  <si>
    <t>63629890</t>
  </si>
  <si>
    <t>Modul Project Based Learning</t>
  </si>
  <si>
    <t>63629891</t>
  </si>
  <si>
    <t>Bahan Pelatihan Project Based Learning Batch 2 (PNBP)</t>
  </si>
  <si>
    <t>63629896</t>
  </si>
  <si>
    <t>Pakaian Kerja Project Based Learning</t>
  </si>
  <si>
    <t>63629897</t>
  </si>
  <si>
    <t>Safety Shoes Project Based Learning</t>
  </si>
  <si>
    <t>63629900</t>
  </si>
  <si>
    <t>Seluruh data (tidak muncul)</t>
  </si>
  <si>
    <t>Bahan Pelatihan Smart Tourism</t>
  </si>
  <si>
    <t>63629901</t>
  </si>
  <si>
    <t>Bahan Project Based Learning Batch 2 (RM)</t>
  </si>
  <si>
    <t>63629902</t>
  </si>
  <si>
    <t>Dokumentasi dan Pelaporan Project Based Learning</t>
  </si>
  <si>
    <t>63629903</t>
  </si>
  <si>
    <t>Sertifikat Pelatihan</t>
  </si>
  <si>
    <t>63629907</t>
  </si>
  <si>
    <t>Paket Data</t>
  </si>
  <si>
    <t>63629912</t>
  </si>
  <si>
    <t>Bahan Pelatihan Project Based Learning Batch 3 (PNBP)</t>
  </si>
  <si>
    <t>63632737</t>
  </si>
  <si>
    <t>Modul</t>
  </si>
  <si>
    <t>63632739</t>
  </si>
  <si>
    <t>Bahan Pelatihan Operator Forklift (280 JP)</t>
  </si>
  <si>
    <t>63632741</t>
  </si>
  <si>
    <t>Dokumentasi dan Pelaporan</t>
  </si>
  <si>
    <t>63632742</t>
  </si>
  <si>
    <t>Bahan Pelatihan Penggambaran Model 3D dengan CAD (260 JP)</t>
  </si>
  <si>
    <t>63632743</t>
  </si>
  <si>
    <t>Bahan Pelatihan Peracikan Minuman Kopi 180 JP</t>
  </si>
  <si>
    <t>63632744</t>
  </si>
  <si>
    <t>Sertifikat  Pelatihan</t>
  </si>
  <si>
    <t>63632749</t>
  </si>
  <si>
    <t>Bahan Pelatihan</t>
  </si>
  <si>
    <t>63632750</t>
  </si>
  <si>
    <t>63632752</t>
  </si>
  <si>
    <t>Bahan Pelatihan Perawatan AC Residential (Publik) 180 JP</t>
  </si>
  <si>
    <t>63632758</t>
  </si>
  <si>
    <t>Bahan Pelatihan Teknisi AC Residential (Publik) 260 JP</t>
  </si>
  <si>
    <t>63632759</t>
  </si>
  <si>
    <t>Bahan Pelatihan Menyiapkan Produk Roti 180 JP</t>
  </si>
  <si>
    <t>63632760</t>
  </si>
  <si>
    <t>Bahan Pelatihan Pengoperasian Mesin CNC Milling Dasar (260 JP)</t>
  </si>
  <si>
    <t>63632762</t>
  </si>
  <si>
    <t>63632763</t>
  </si>
  <si>
    <t>Bahan Pelatihan Kerjasama</t>
  </si>
  <si>
    <t>63632764</t>
  </si>
  <si>
    <t>63632766</t>
  </si>
  <si>
    <t>Safety Shoes PBK Reguler</t>
  </si>
  <si>
    <t>63632767</t>
  </si>
  <si>
    <t>Bahan Pelatihan Restaurant Attendant 180 JP</t>
  </si>
  <si>
    <t>63632769</t>
  </si>
  <si>
    <t>63632770</t>
  </si>
  <si>
    <t>Konsumsi Peserta Pelatihan Penugasan</t>
  </si>
  <si>
    <t>63632905</t>
  </si>
  <si>
    <t>Bahan Operasional Penyelenggaraan PBK di UPTD</t>
  </si>
  <si>
    <t>63632995</t>
  </si>
  <si>
    <t>63632997</t>
  </si>
  <si>
    <t>63632998</t>
  </si>
  <si>
    <t>63633122</t>
  </si>
  <si>
    <t>63633123</t>
  </si>
  <si>
    <t>Bahan Pelatihan Spesialis Manajemen Media Sosial (Social Media Management Specialist)</t>
  </si>
  <si>
    <t>63633124</t>
  </si>
  <si>
    <t>Bahan Pelatihan Fotografer Junior (Junior Photographer)</t>
  </si>
  <si>
    <t>63633126</t>
  </si>
  <si>
    <t>Bahan Pelatihan Desainer Kreasi Konten (Content Creator Designer)</t>
  </si>
  <si>
    <t>63633127</t>
  </si>
  <si>
    <t>Bahan Pelatihan Drone Videografi</t>
  </si>
  <si>
    <t>63633128</t>
  </si>
  <si>
    <t>63633130</t>
  </si>
  <si>
    <t>Bahan Pelatihan Pengembang Fronted (Fronted Developer)</t>
  </si>
  <si>
    <t>63633131</t>
  </si>
  <si>
    <t>Bahan Pelatihan Pengembang Backend (Backend Developer)</t>
  </si>
  <si>
    <t>63633132</t>
  </si>
  <si>
    <t>Bahan Pelatihan Desainer Grafis Muda (Junior Graphic Designer)</t>
  </si>
  <si>
    <t>63633228</t>
  </si>
  <si>
    <t>Metode, Pagu (Rp)</t>
  </si>
  <si>
    <t>Pakaian Kerja Pelatihan Vokasi yang Mendukung Pekerjaan Hijau (Green Jobs)</t>
  </si>
  <si>
    <t>63633230</t>
  </si>
  <si>
    <t>Bahan Pelatihan Vokasi yang Mendukung Pekerjaan Hijau (Green Jobs</t>
  </si>
  <si>
    <t>63633231</t>
  </si>
  <si>
    <t>Konsumsi Peserta Pelatihan Vokasi yang Mendukung Pekerjaan Hijau (Green Jobs)</t>
  </si>
  <si>
    <t>63633232</t>
  </si>
  <si>
    <t>Safety Shoes Pelatihan Vokasi yang Mendukung Pekerjaan Hijau (Green Jobs</t>
  </si>
  <si>
    <t>63633233</t>
  </si>
  <si>
    <t>Modul  Pelatihan Vokasi yang Mendukung Pekerjaan Hijau (Green Jobs)</t>
  </si>
  <si>
    <t>63633234</t>
  </si>
  <si>
    <t>Sertifikat Pelatihan Vokasi yang Mendukung Pekerjaan Hijau (Green Jobs)</t>
  </si>
  <si>
    <t>63633235</t>
  </si>
  <si>
    <t>Dokumentasi dan Pelaporan Pelatihan Vokasi yang Mendukung Pekerjaan Hijau (Green Jobs)</t>
  </si>
  <si>
    <t>63715384</t>
  </si>
  <si>
    <t>Belanja Pengiriman Surat Dinas Pos Pusat Pelaksanaan Sertifikasi Lulusan Pelatihan (PNBP)</t>
  </si>
  <si>
    <t>63715385</t>
  </si>
  <si>
    <t>Belanja Bahan Pelaksanaan Sertifikasi Lulusan Pelatihan (PNBP)</t>
  </si>
  <si>
    <t>63715386</t>
  </si>
  <si>
    <t>Pengiriman Dokumen Pelaksanaan Sertifikasi Lulusan Pelatihan (RM)</t>
  </si>
  <si>
    <t>63715460</t>
  </si>
  <si>
    <t>Belanja Bahan Pelaksanaan Sertifikasi Lulusan Pelatihan Pekerjaan Hijau (Green Jobs)</t>
  </si>
  <si>
    <t>63715461</t>
  </si>
  <si>
    <t>Belanja Pengiriman Surat Dinas Pos Pusat Pelaksanaan Sertifikasi Lulusan Pelatihan Pekerjaan Hijau (Green Jobs)</t>
  </si>
  <si>
    <t>63715795</t>
  </si>
  <si>
    <t>Belanja Bahan Tahap Pelaporan (Bimbingan Konsultansi)</t>
  </si>
  <si>
    <t>63715796</t>
  </si>
  <si>
    <t>Belanja Bahan Tahap Perencanaan (Bimbingan Konsultasi)</t>
  </si>
  <si>
    <t>63715797</t>
  </si>
  <si>
    <t>Belanja Bahan Tahap Pelaksanaan (Bimbingan Konsultansi)</t>
  </si>
  <si>
    <t>63715829</t>
  </si>
  <si>
    <t>Metode, Status, Realisasi (Rp), Realisasi (%)</t>
  </si>
  <si>
    <t>Belanja Bahan Tahap Pelaksanaan</t>
  </si>
  <si>
    <t>63715830</t>
  </si>
  <si>
    <t>Belanja Bahan Tahap Perencanaan</t>
  </si>
  <si>
    <t>63715831</t>
  </si>
  <si>
    <t>Belanja Bahan Tahap Pelaporan</t>
  </si>
  <si>
    <t>63851234</t>
  </si>
  <si>
    <t>Nama Paket, Metode, Pagu (Rp)</t>
  </si>
  <si>
    <t>Belanja Bahan UPTD Balai Latihan Kerja Kabupaten Sukabumi Batch 2</t>
  </si>
  <si>
    <t>63856879</t>
  </si>
  <si>
    <t>Belanja Bahan BLK Kota Bandung</t>
  </si>
  <si>
    <t>63856880</t>
  </si>
  <si>
    <t>Belanja Konsumsi BLK Kota Bandung</t>
  </si>
  <si>
    <t>63857068</t>
  </si>
  <si>
    <t>Belanja Bahan UPTD BLK Majalengka</t>
  </si>
  <si>
    <t>63857069</t>
  </si>
  <si>
    <t>Belanja Konsumsi UPTD BLK Majalengka</t>
  </si>
  <si>
    <t>64618834</t>
  </si>
  <si>
    <t>Pemeliharaan Gedung Bangunan (Toilet Gedung Asrama Gelatik dan Canopy Gedung Serbaguna)</t>
  </si>
  <si>
    <t>64619620</t>
  </si>
  <si>
    <t>Status, Realisasi (Rp), Realisasi (%)</t>
  </si>
  <si>
    <t>Pemeliharaan Gedung Bangunan (Plafond Gedung Utama Lantai 3 depan Taman Inspirasi, Perbaikan Toilet Gedung BLIB Lantai 3, dan Perbaikan Toilet Gedung LSP)</t>
  </si>
  <si>
    <t>65181661</t>
  </si>
  <si>
    <t>Bahan Pelatihan Teknisi Batch 1 (Pembuatan Jig and Fixture, Engine Senior Technician, Electrical Senior Technician)</t>
  </si>
  <si>
    <t>65182521</t>
  </si>
  <si>
    <t>Konsumsi Peserta Pelatihan 360JP</t>
  </si>
  <si>
    <t>65184396</t>
  </si>
  <si>
    <t>Bahan Pelatihan Pembuatan Mold (320 JP)</t>
  </si>
  <si>
    <t>65184870</t>
  </si>
  <si>
    <t>Bahan Pelatihan Pembuatan Mold Dasar (340 JP)</t>
  </si>
  <si>
    <t>65184962</t>
  </si>
  <si>
    <t>Bahan Pelatihan Mechanical Engineering CAD 360 JP</t>
  </si>
  <si>
    <t>65185217</t>
  </si>
  <si>
    <t>Konsumsi Peserta Pelatihan 340 JP</t>
  </si>
  <si>
    <t>65187454</t>
  </si>
  <si>
    <t>Dokumentasi dan Pelaporan Teknisi</t>
  </si>
  <si>
    <t>66101719</t>
  </si>
  <si>
    <t>Konsumsi Peserta Pelatihan</t>
  </si>
  <si>
    <t>66102361</t>
  </si>
  <si>
    <t>Konsumsi Peserta Pelatihan Kerjasama</t>
  </si>
  <si>
    <t>66133424</t>
  </si>
  <si>
    <t>Belanja Pemeliharaan Peralatan dan Mesin</t>
  </si>
  <si>
    <t>66152592</t>
  </si>
  <si>
    <t>Belanja Bahan Pelatihan Peningkatan Produktivitas Pendukung Lapangan Kerja Hijau</t>
  </si>
  <si>
    <t>66199387</t>
  </si>
  <si>
    <t>Kebutuhan Dasar Perkantoran di Dalam Negeri (Jawa Barat)</t>
  </si>
  <si>
    <t>66212079</t>
  </si>
  <si>
    <t>Nama Paket, Pagu (Rp), Realisasi (%)</t>
  </si>
  <si>
    <t>Bahan Operasional Penyelenggaraan PBK di UPTP</t>
  </si>
  <si>
    <t>66212406</t>
  </si>
  <si>
    <t>Belanja Bahan Pakaian Kerja Penugasan/ Kerjasama (Hinode)</t>
  </si>
  <si>
    <t>66212502</t>
  </si>
  <si>
    <t>Modul Teknisi</t>
  </si>
  <si>
    <t>66212813</t>
  </si>
  <si>
    <t>Dokumentasi dan Pelaporan Kerjasama</t>
  </si>
  <si>
    <t>66223357</t>
  </si>
  <si>
    <t>Realisasi (Rp), Realisasi (%)</t>
  </si>
  <si>
    <t>Pengadaan Jasa Outsourcing (Alih Daya)</t>
  </si>
  <si>
    <t>66258894</t>
  </si>
  <si>
    <t>Belanja Bahan Modul  Penugasan/ Kerjasama (Hinode)</t>
  </si>
  <si>
    <t>66259476</t>
  </si>
  <si>
    <t>Belanja Bahan Operasional Sertfikasi</t>
  </si>
  <si>
    <t>66259602</t>
  </si>
  <si>
    <t>Belanja Bahan Pelatihan  Penugasan/ Kerjasama (Hinode)</t>
  </si>
  <si>
    <t>66259783</t>
  </si>
  <si>
    <t>Belanja Bahan Pelaksanaan Sertifikasi Lulusan Pelatihan (RM)</t>
  </si>
  <si>
    <t>66262167</t>
  </si>
  <si>
    <t>66262212</t>
  </si>
  <si>
    <t>66332297</t>
  </si>
  <si>
    <t>Belanja Pakaian Kerja Pelatihan Batch 1</t>
  </si>
  <si>
    <t>66332379</t>
  </si>
  <si>
    <t>Pakaian Kerja PBK Reguler</t>
  </si>
  <si>
    <t>66361777</t>
  </si>
  <si>
    <t>Belanja Bahan UPTD BLK Kab.Tasikmalaya</t>
  </si>
  <si>
    <t>66362137</t>
  </si>
  <si>
    <t>Belanja Bahan UPTD KLK Ciamis</t>
  </si>
  <si>
    <t>66362358</t>
  </si>
  <si>
    <t>Belanja Bahan UPTD BLK Kab. Kuningan</t>
  </si>
  <si>
    <t>66362444</t>
  </si>
  <si>
    <t>Belanja Bahan BLK Purwakarta</t>
  </si>
  <si>
    <t>66404917</t>
  </si>
  <si>
    <t>Pemeliharaan Gedung/Bangunan Bertingkat (Plafond Gedung Utama Perbatasan Gedung Blib)</t>
  </si>
  <si>
    <t>66405363</t>
  </si>
  <si>
    <t>Pemeliharaan Gedung/Bangunan Bertingkat (Talang Gedung BLIB)</t>
  </si>
  <si>
    <t>66405726</t>
  </si>
  <si>
    <t>Pemeliharaan Gedung/Bangunan Bertingkat (Gedung Serbaguna, Gedung Cafetaria dan Gedung LSP)</t>
  </si>
  <si>
    <t>66405903</t>
  </si>
  <si>
    <t>Belanja Pemeliharaan Gedung dan Bangunan</t>
  </si>
  <si>
    <t>66410428</t>
  </si>
  <si>
    <t>Pengadaan Modul Pelatihan Berbasis Kompetensi BBPVP Bandung di UPTD Binaan</t>
  </si>
  <si>
    <t>66410941</t>
  </si>
  <si>
    <t>Belanja Bahan UPTD BLK Garut</t>
  </si>
  <si>
    <t>66411285</t>
  </si>
  <si>
    <t>Belanja Bahan Pelatihan Kerjasama Pihak Ketiga</t>
  </si>
  <si>
    <t>66411728</t>
  </si>
  <si>
    <t>Bahan Pelatihan Kejuruan Pariwisata Batch 1 (Peracikan Minuman Kopi, Menyiapkan Produk Roti)</t>
  </si>
  <si>
    <t>66411743</t>
  </si>
  <si>
    <t>66617672</t>
  </si>
  <si>
    <t>Bahan Pelatihan Fashion Ilustrator</t>
  </si>
  <si>
    <t>66618198</t>
  </si>
  <si>
    <t>Bahan Pelatihan Bahan Pelatihan PBK Reguler Batch 1 Kejuruan Manufaktur  ( Pengoperasian Mesin CNC Milling Dasar, Pengoperasian Mesin CNC Bubut Dasar, Pengoperasian Mesin Bubut)</t>
  </si>
  <si>
    <t>66618302</t>
  </si>
  <si>
    <t>Bahan Pelatihan Pengoperasian Mesin Frais</t>
  </si>
  <si>
    <t>66619908</t>
  </si>
  <si>
    <t>Bahan Pelatihan PBK Reguler Batch 1 Kejuruan Otomotive (Service Sepeda Motor Sistem Injeksi, Tune Up Sepeda Motor Konvensional, Pemeliharaan Kendaraan Ringan Sistem Konvensional)</t>
  </si>
  <si>
    <t>66638139</t>
  </si>
  <si>
    <t>Bahan Pelatihan Smart Manufacturing</t>
  </si>
  <si>
    <t>66812985</t>
  </si>
  <si>
    <t>Bahan Pelatihan Batch 1 (Operator Forklift, Pemeliharaan Berkala Kendaraan Ringan Sistem Injeksi, Penggambaran Model 3D dengan CAD, Teknisi AC Residential, Teknisi Perawatan AC Residential)</t>
  </si>
  <si>
    <t>66813076</t>
  </si>
  <si>
    <t>Bahan Pelatihan Penggambaran Model 3D dengan CAD</t>
  </si>
  <si>
    <t>66813325</t>
  </si>
  <si>
    <t>Bahan Pelatihan Project Based Learning Batch 1 (Smart Creative IT Skill  dan Smart Building)</t>
  </si>
  <si>
    <t>66813389</t>
  </si>
  <si>
    <t>Bahan Pelatihan Project Based Learning Batch 3 (RM)</t>
  </si>
  <si>
    <t>66814932</t>
  </si>
  <si>
    <t>Belanja Bahan UPTD BLK Kota Banjar</t>
  </si>
  <si>
    <t>66815105</t>
  </si>
  <si>
    <t>Pengadaan Bahan Pelatihan Berbasis Kompetensi BBPVP Bandung di UPT Sumedang dan BLK Purwakarta</t>
  </si>
  <si>
    <t>66815271</t>
  </si>
  <si>
    <t>Pengadaan Bahan Pelatihan Berbasis Kompetensi BBPVP Bandung di UPT BLK Garut</t>
  </si>
  <si>
    <t>66815289</t>
  </si>
  <si>
    <t>Pengadaan Bahan Pelatihan Berbasis Kompetensi BBPVP Bandung di UPTD BLK Kab. Tasikmalaya dan UPT BLK Garut</t>
  </si>
  <si>
    <t>66894598</t>
  </si>
  <si>
    <t>Pengadaan Bahan Pelatihan Berbasis Kompetensi BBPVP Bandung di UPTD BLK Kab. Kuningan, UPTD KLK Ciamis dan UPTD BLK Kota Banjar</t>
  </si>
  <si>
    <t>66894647</t>
  </si>
  <si>
    <t>Belanja Bahan UPT BLK Sumedang</t>
  </si>
  <si>
    <t>67334826</t>
  </si>
  <si>
    <t>Konsumsi Peserta Pelatihan Vokasi Nasional (RM)</t>
  </si>
  <si>
    <t>67335730</t>
  </si>
  <si>
    <t>Konsumsi Peserta Pelatihan Vokasi Nasional (PNBP)</t>
  </si>
  <si>
    <t>67364435</t>
  </si>
  <si>
    <t>Konsumsi Peserta Pelatihan Berbasis Kompetensi  Batch 1</t>
  </si>
  <si>
    <t>67364613</t>
  </si>
  <si>
    <t>Konsumsi Peserta Pelatihan Vokasi Nasional (UPTD)</t>
  </si>
  <si>
    <t>67393346</t>
  </si>
  <si>
    <t>Konsumsi Peserta Pelatihan Project Based Learning</t>
  </si>
  <si>
    <t>67393905</t>
  </si>
  <si>
    <t>Pengadaan Pakaian Kerja Peserta Pelatihan Vokasi Nasional (PNBP)</t>
  </si>
  <si>
    <t>67429488</t>
  </si>
  <si>
    <t>Safety Shoes Teknisi</t>
  </si>
  <si>
    <t>67521316</t>
  </si>
  <si>
    <t>Pengadaan Safety Shoes Peserta Pelatihan UPTD Binaan BBPVP Bandung</t>
  </si>
  <si>
    <t>67521380</t>
  </si>
  <si>
    <t>Pengadaan Pakaiann Kerja Peserta PVN UPTD Binaan BBPVP Bandung</t>
  </si>
  <si>
    <t>67521824</t>
  </si>
  <si>
    <t>Pengadaan Modul Peserta PVN UPTD Binaan BBPVP Bandung</t>
  </si>
  <si>
    <t>67568320</t>
  </si>
  <si>
    <t>Status Kurasi AI, Catatan Kurasi AI, Rekomendasi Kurasi AI</t>
  </si>
  <si>
    <t>Sewa Peralatan Pelatihan</t>
  </si>
  <si>
    <t>67630586</t>
  </si>
  <si>
    <t>Seluruh data (paket baru)</t>
  </si>
  <si>
    <t>Operasional Pelaksanaan Sertifikasi Lulusan Pelatihan</t>
  </si>
  <si>
    <t>67630616</t>
  </si>
  <si>
    <t>Pelaksanaan Refresment Pengembangan Skema dan Perangkat Sertifikasi</t>
  </si>
  <si>
    <t>67634310</t>
  </si>
  <si>
    <t>Pengadaan Bahan PBK Tahap 2 UPTD BLK Kab Sukabumi Kejuruan Manufaktur</t>
  </si>
  <si>
    <t>67634319</t>
  </si>
  <si>
    <t>Bahan Pelatihan UPTD BLK Sukabumi</t>
  </si>
  <si>
    <t>67635261</t>
  </si>
  <si>
    <t>Belanja Sewa Pendukung Operasional Penyelenggaraan PBK di UPTP</t>
  </si>
  <si>
    <t>67635280</t>
  </si>
  <si>
    <t>Belanja Jasa Lainnya Operasional Penyelenggaraan PBK di UPTP</t>
  </si>
  <si>
    <t>67635295</t>
  </si>
  <si>
    <t>Belanja Bahan Talent Inovation Hub</t>
  </si>
  <si>
    <t>67635323</t>
  </si>
  <si>
    <t>Belanja Pengiriman Surat Dinas Pos Pusat</t>
  </si>
  <si>
    <t>67635355</t>
  </si>
  <si>
    <t>Operasional Penyelenggaraan Pelatihan Lainnya (Sewa Peralatan Pelatihan)</t>
  </si>
  <si>
    <t>Daftar Paket yang Berubah / Baru / Tidak Muncul</t>
  </si>
  <si>
    <t>Laporan Ringkasan Pengadaan - BBPVP Bandung</t>
  </si>
  <si>
    <t>Tanggal data: 5 Agustus 2026</t>
  </si>
  <si>
    <t>Satuan Kerja</t>
  </si>
  <si>
    <t>Nama PPK</t>
  </si>
  <si>
    <t>Realisasi (Rp)</t>
  </si>
  <si>
    <t>Realisasi (%)</t>
  </si>
  <si>
    <t>Status Kurasi AI</t>
  </si>
  <si>
    <t>Catatan Kurasi AI</t>
  </si>
  <si>
    <t>Rekomendasi Kurasi AI</t>
  </si>
  <si>
    <t>Balai Besar Pelatihan Vokasi dan Produktivitas Bandung</t>
  </si>
  <si>
    <t>Christiana Dewi Rasmawati</t>
  </si>
  <si>
    <t>Akurat</t>
  </si>
  <si>
    <t>Metode E-Purchasing tidak dibatasi nilai pagu pengadaan.</t>
  </si>
  <si>
    <t>Dapat dilanjutkan.</t>
  </si>
  <si>
    <t>Sesuai dengan aturan pengadaan.</t>
  </si>
  <si>
    <t>Dapat dilanjutkan ke tahap berikutnya.</t>
  </si>
  <si>
    <t>Sesuai dengan aturan batasan nilai dan metode pengadaan.</t>
  </si>
  <si>
    <t>Metode pengadaan sesuai dengan batasan nilai pagu paket.</t>
  </si>
  <si>
    <t>Dapat dilanjutkan ke tahap pengadaan berikutnya.</t>
  </si>
  <si>
    <t>Belanja Bahan UPTD Balai Latihan Kerja Kabupaten Sukabumi</t>
  </si>
  <si>
    <t>Metode E-Purchasing sesuai untuk belanja bahan tanpa batasan nilai.</t>
  </si>
  <si>
    <t>Lanjutkan proses pengadaan sesuai rencana.</t>
  </si>
  <si>
    <t>Metode E-Purchasing sesuai untuk belanja konsumsi tanpa batasan nilai.</t>
  </si>
  <si>
    <t>E-Purchasing tidak dibatasi nilai pagu.</t>
  </si>
  <si>
    <t>Pengadaan Jasa Lainnya dengan E-Purchasing tidak dibatasi oleh nilai pagu.</t>
  </si>
  <si>
    <t>Pagu Rp10.441.000 dengan metode E-Purchasing untuk jenis Barang sudah sesuai.</t>
  </si>
  <si>
    <t>ATK dan Komputer Supllies Bidang dan Kejuruan</t>
  </si>
  <si>
    <t>Pagu Rp6.330.000 dengan metode E-Purchasing sudah sesuai karena tidak dibatasi nilai.</t>
  </si>
  <si>
    <t>Pagu Rp10.080.000 dengan metode E-Purchasing sudah sesuai karena tidak dibatasi nilai.</t>
  </si>
  <si>
    <t>E-Purchasing tidak dibatasi nilai anggaran dan sesuai untuk pengadaan jenis Jasa Lainnya.</t>
  </si>
  <si>
    <t>E-Purchasing tidak dibatasi nilai dan sesuai untuk pengadaan barang.</t>
  </si>
  <si>
    <t>"-"</t>
  </si>
  <si>
    <t>E-Purchasing tidak dibatasi nilai dan sah digunakan untuk jenis Barang.</t>
  </si>
  <si>
    <t>Pagu Rp218.560.000 dengan E-Purchasing untuk Jasa Lainnya sudah sesuai.</t>
  </si>
  <si>
    <t>Pagu Rp86.080.000 dengan E-Purchasing untuk Jasa Lainnya sudah sesuai.</t>
  </si>
  <si>
    <t>Pagu Rp395.840.000 dengan E-Purchasing untuk Jasa Lainnya sudah sesuai.</t>
  </si>
  <si>
    <t>Pagu Rp405.120.000 dengan E-Purchasing untuk Jasa Lainnya sudah sesuai.</t>
  </si>
  <si>
    <t>Metode E-Purchasing tidak dibatasi oleh nilai pagu.</t>
  </si>
  <si>
    <t>Metode E-Purchasing tidak dibatasi nilai untuk pengadaan Barang.</t>
  </si>
  <si>
    <t>Belum Dikurasi</t>
  </si>
  <si>
    <t>Sesuai dengan batasan nilai Pengadaan Langsung Barang/Jasa Lainnya (maksimal Rp200 juta).</t>
  </si>
  <si>
    <t>Metode pemilihan Pengadaan Langsung untuk Jasa Lainnya dengan pagu Rp66.000.000 telah sesuai dengan batasan nilai (maksimal Rp200 juta).</t>
  </si>
  <si>
    <t>Lanjutkan proses pengadaan.</t>
  </si>
  <si>
    <t>Tidak Akurat</t>
  </si>
  <si>
    <t>Nilai pagu Rp480.000.000 melebihi batas maksimal Pengadaan Langsung (Rp200 juta) dan belanja langganan listrik merupakan pengadaan yang dikecualikan.</t>
  </si>
  <si>
    <t>Ubah metode pengadaan menjadi Dikecualikan.</t>
  </si>
  <si>
    <t>Metode Pengadaan Langsung untuk Barang dengan pagu Rp330.000.000 melebihi batasan nilai maksimal Rp200 juta.</t>
  </si>
  <si>
    <t>Ubah metode pengadaan menjadi Tender karena nilai paket di atas Rp200 juta.</t>
  </si>
  <si>
    <t>Bahan Pelatihan Smart Building</t>
  </si>
  <si>
    <t>Bahan Pelatihan Smart Creative IT Skill</t>
  </si>
  <si>
    <t>Bahan Pelatihan Smart Automotive</t>
  </si>
  <si>
    <t>Metode pemilihan Pengadaan Langsung untuk Barang dengan pagu Rp40.000.000 telah sesuai dengan batasan nilai (maksimal Rp200 juta).</t>
  </si>
  <si>
    <t>Konsumsi</t>
  </si>
  <si>
    <t>Nilai pagu paket pengadaan barang sebesar Rp426.870.000 melebihi batas maksimal Pengadaan Langsung (maksimal Rp200 juta).</t>
  </si>
  <si>
    <t>Ubah metode pengadaan menjadi Tender atau E-Purchasing jika produk tersedia di e-katalog.</t>
  </si>
  <si>
    <t>Pagu Rp44.010.000 untuk Konstruksi di bawah Rp400jt</t>
  </si>
  <si>
    <t>Pagu Rp80.055.000 untuk Konstruksi di bawah Rp400jt</t>
  </si>
  <si>
    <t>Pagu Rp105.000.000 untuk Barang di bawah Rp200.000.000 sesuai untuk Pengadaan Langsung.</t>
  </si>
  <si>
    <t>Pagu Rp70.000.000 untuk Barang di bawah Rp200.000.000 sesuai untuk Pengadaan Langsung.</t>
  </si>
  <si>
    <t>Pagu Rp35.000.000 untuk Barang di bawah Rp200.000.000 sesuai untuk Pengadaan Langsung.</t>
  </si>
  <si>
    <t>Pagu Rp750.000 untuk Barang di bawah Rp200.000.000 sesuai untuk Pengadaan Langsung.</t>
  </si>
  <si>
    <t>Pagu Rp135.040.000 dengan metode Pengadaan Langsung untuk jenis Barang sudah sesuai.</t>
  </si>
  <si>
    <t>Catatan: Pengadaan Langsung ini wajib menggunakan SPSE fitur transaksional sesuai Perpres 46/2025.</t>
  </si>
  <si>
    <t>Pagu Rp244.538.000 dengan metode Pengadaan Langsung memerlukan peninjauan lebih lanjut, namun mark-up atau status dikecualikan tidak ada; tapi batas Barang adalah Rp200jt. Maka Tidak Akurat.</t>
  </si>
  <si>
    <t>Tender</t>
  </si>
  <si>
    <t>Pagu Rp6.720.000 dengan metode Pengadaan Langsung untuk Barang sudah sesuai karena di bawah Rp200.000.000.</t>
  </si>
  <si>
    <t>Pagu Rp1.050.000 untuk Pengadaan Barang menggunakan Pengadaan Langsung sudah sesuai (di bawah Rp200.000.000).</t>
  </si>
  <si>
    <t>Pagu Rp6.720.000 dengan Pengadaan Langsung untuk Barang berada di bawah batas maksimal Rp200.000.000.</t>
  </si>
  <si>
    <t>Belanja Bahan Operasional Sertfikasi Pelaksanaan Sertifikasi Lulusan Pelatihan Pekerjaan Hijau (Green Jobs) PNBP</t>
  </si>
  <si>
    <t>Pagu Rp14.320.004 dengan metode Pengadaan Langsung untuk jenis Jasa Lainnya memenuhi batas maksimal Rp200.000.000.</t>
  </si>
  <si>
    <t>Info: Pengadaan Langsung di bawah Rp50 juta tidak wajib SPSE transaksional.</t>
  </si>
  <si>
    <t>Pagu Rp183.632.004 dengan metode Pengadaan Langsung untuk jenis Barang memenuhi batas maksimal Rp200.000.000.</t>
  </si>
  <si>
    <t>Pagu Rp458.332.020 untuk jenis Barang melebihi batas maksimal Pengadaan Langsung (Rp200.000.000).</t>
  </si>
  <si>
    <t>Pagu Rp2.750.000 dengan metode Pengadaan Langsung untuk jenis Barang memenuhi batas maksimal Rp200.000.000.</t>
  </si>
  <si>
    <t>Pagu Rp1.500.000 dengan metode Pengadaan Langsung untuk jenis Barang memenuhi batas maksimal Rp200.000.000.</t>
  </si>
  <si>
    <t>Pagu Rp78.560.000 dengan metode Pengadaan Langsung untuk jenis Barang sudah sesuai (maksimal Rp200.000.000).</t>
  </si>
  <si>
    <t>Pagu Rp160.236.000 dengan metode Pengadaan Langsung untuk jenis Barang sudah sesuai (maksimal Rp200.000.000).</t>
  </si>
  <si>
    <t>Pagu Rp157.270.000 dengan metode Pengadaan Langsung untuk jenis Barang sudah sesuai (maksimal Rp200.000.000).</t>
  </si>
  <si>
    <t>Pagu Rp111.000.000 untuk Pekerjaan Konstruksi menggunakan Pengadaan Langsung sudah sesuai karena di bawah Rp400.000.000.</t>
  </si>
  <si>
    <t>Metode pemilihan Pengadaan Langsung sesuai dengan pagu paket Pekerjaan Konstruksi sebesar Rp49.995.600 (di bawah Rp400 juta).</t>
  </si>
  <si>
    <t>Metode pemilihan Pengadaan Langsung untuk Pekerjaan Konstruksi dengan pagu Rp17.250.000 telah sesuai dengan batasan nilai (maksimal Rp400 juta).</t>
  </si>
  <si>
    <t>Pagu Rp129.844.400 untuk Pekerjaan Konstruksi menggunakan Pengadaan Langsung sudah sesuai karena di bawah Rp400.000.000.</t>
  </si>
  <si>
    <t>Pagu Rp43.200.000 untuk Pengadaan Barang menggunakan Pengadaan Langsung sudah sesuai karena di bawah Rp200.000.000.</t>
  </si>
  <si>
    <t>Pagu Rp8.990.000 untuk Pengadaan Barang menggunakan Pengadaan Langsung sudah sesuai karena di bawah Rp200.000.000.</t>
  </si>
  <si>
    <t>Pagu Rp21.615.000 untuk Pengadaan Barang menggunakan Pengadaan Langsung sudah sesuai karena di bawah Rp200.000.000.</t>
  </si>
  <si>
    <t>Pagu Rp76.726.000 untuk Pengadaan Barang menggunakan Pengadaan Langsung sudah sesuai karena di bawah Rp200.000.000.</t>
  </si>
  <si>
    <t>Pagu Rp48.484.000 untuk Pengadaan Barang menggunakan Pengadaan Langsung sudah sesuai karena di bawah Rp200.000.000.</t>
  </si>
  <si>
    <t>Pagu Rp14.500.000 menggunakan Pengadaan Langsung untuk Barang sesuai karena di bawah atau sama dengan Rp200.000.000.</t>
  </si>
  <si>
    <t>Pagu Rp140.500.000 menggunakan Pengadaan Langsung untuk Barang sesuai karena di bawah atau sama dengan Rp200.000.000.</t>
  </si>
  <si>
    <t>Metode pemilihan Pengadaan Langsung sesuai dengan pagu paket sebesar Rp37.500.000 (di bawah Rp200 juta).</t>
  </si>
  <si>
    <t>Pagu Rp129.600.000 menggunakan Pengadaan Langsung untuk Barang sesuai karena di bawah atau sama dengan Rp200.000.000.</t>
  </si>
  <si>
    <t>Metode Pengadaan Langsung sesuai untuk jenis pengadaan Barang dengan pagu Rp193.484.000 (maksimal Rp200.000.000).</t>
  </si>
  <si>
    <t>Pagu Rp176.040.000 menggunakan Pengadaan Langsung untuk Barang sesuai karena di bawah atau sama dengan Rp200.000.000.</t>
  </si>
  <si>
    <t>Pagu Rp15.000.000 menggunakan Pengadaan Langsung untuk Barang sesuai karena di bawah atau sama dengan Rp200.000.000.</t>
  </si>
  <si>
    <t>Pagu Rp125.000.000 menggunakan Pengadaan Langsung untuk Barang sesuai karena di bawah atau sama dengan Rp200.000.000.</t>
  </si>
  <si>
    <t>Bahan Pelatihan Project Based Learning  (Smart Creative Skill, Smart Manufacturing, Smart Automotive dan Smart Tourism)</t>
  </si>
  <si>
    <t>Pagu Rp158.732.000 menggunakan Pengadaan Langsung untuk Barang sesuai karena di bawah atau sama dengan Rp200.000.000.</t>
  </si>
  <si>
    <t>Pagu Rp151.470.000 menggunakan Pengadaan Langsung untuk Barang sesuai karena di bawah atau sama dengan Rp200.000.000.</t>
  </si>
  <si>
    <t>Pagu Rp120.950.000 menggunakan Pengadaan Langsung untuk Barang sesuai karena di bawah atau sama dengan Rp200.000.000.</t>
  </si>
  <si>
    <t>Pagu Rp197.046.000 untuk Pengadaan Barang sesuai menggunakan Pengadaan Langsung (maksimal Rp200.000.000).</t>
  </si>
  <si>
    <t>Pagu Rp179.046.000 untuk Pengadaan Barang sesuai menggunakan Pengadaan Langsung (maksimal Rp200.000.000).</t>
  </si>
  <si>
    <t>Pagu Rp159.046.000 untuk Pengadaan Barang sesuai menggunakan Pengadaan Langsung.</t>
  </si>
  <si>
    <t>Pagu Rp69.650.000 untuk Pengadaan Barang sesuai menggunakan Pengadaan Langsung.</t>
  </si>
  <si>
    <t>Pagu Rp45.600.000 untuk Pengadaan Langsung Barang sesuai batas maksimal Rp200.000.000.</t>
  </si>
  <si>
    <t>Pagu Rp28.450.000 untuk pengadaan Barang menggunakan Pengadaan Langsung sudah sesuai (maksimal Rp200.000.000).</t>
  </si>
  <si>
    <t>Metode Pengadaan Langsung sesuai untuk jenis pengadaan Barang dengan pagu Rp 115.500.000 (di bawah batas maksimal Rp 200.000.000).</t>
  </si>
  <si>
    <t>Pagu Rp59.259.000 untuk Barang sesuai dengan batas maksimal Pengadaan Langsung (Rp200.000.000).</t>
  </si>
  <si>
    <t>Pagu Rp37.475.000 untuk Barang sesuai dengan batas maksimal Pengadaan Langsung (Rp200.000.000).</t>
  </si>
  <si>
    <t>Metode Pengadaan Langsung sesuai untuk pengadaan Barang dengan pagu Rp97.500.000 (maksimal Rp200.000.000).</t>
  </si>
  <si>
    <t>Metode Pengadaan Langsung sesuai untuk pengadaan Barang dengan pagu Rp10.410.000 (maksimal Rp200.000.000).</t>
  </si>
  <si>
    <t>Metode Pengadaan Langsung sesuai untuk pengadaan Jasa Lainnya dengan pagu Rp25.800.000 (maksimal Rp200.000.000).</t>
  </si>
  <si>
    <t>Metode Pengadaan Langsung sesuai untuk pengadaan Jasa Lainnya dengan pagu Rp28.000.000 (maksimal Rp200.000.000).</t>
  </si>
  <si>
    <t>Metode Pengadaan Langsung sesuai untuk pengadaan Jasa Lainnya dengan pagu Rp15.200.000 (maksimal Rp200.000.000).</t>
  </si>
  <si>
    <t>Metode Pengadaan Langsung sesuai untuk pengadaan Barang dengan pagu Rp2.000.000 (maksimal Rp200.000.000).</t>
  </si>
  <si>
    <t>Metode Pengadaan Langsung sesuai untuk pengadaan Jasa Lainnya dengan pagu Rp64.546.000 (maksimal Rp200.000.000).</t>
  </si>
  <si>
    <t>Perbandingan snapshot data 5 Agustus 2026 dan 12 Agustus 2026 berdasarkan Kode RUP.</t>
  </si>
  <si>
    <t>12 Agustus 2026</t>
  </si>
  <si>
    <t>Perbandingan Data Pengadaan BBPVP Bandung | 5 vs 12 Agustus 2026</t>
  </si>
  <si>
    <t>Sheet ini merupakan filter dari Perbandingan untuk memudahkan penelusuran perubahan antara 5 dan 12 Agustus 2026.</t>
  </si>
  <si>
    <t>Tanggal data: 12 Agustus 2026</t>
  </si>
  <si>
    <t>BARU DI 12 Agu</t>
  </si>
  <si>
    <t>Kode RUP hanya ada pada snapshot 12 Agustus</t>
  </si>
  <si>
    <t>TIDAK MUNCUL DI 12 Agu</t>
  </si>
  <si>
    <t>Kode RUP ada pada 5 Agustus tetapi tidak ada pada 12 Agustus</t>
  </si>
  <si>
    <t>12 Agustus</t>
  </si>
  <si>
    <t>Kunci pencocokan: Kode RUP. Kategori 'tidak muncul' berarti kode tersebut ada pada data 5 Agustus tetapi tidak terdapat pada data 12 Agustus.</t>
  </si>
  <si>
    <t>Metode 12 Agu</t>
  </si>
  <si>
    <t>Status 12 Agu</t>
  </si>
  <si>
    <t>Pagu 12 Agu (Rp)</t>
  </si>
  <si>
    <t>Realisasi 12 Agu (Rp)</t>
  </si>
  <si>
    <t>Realisasi 12 Agu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</si>
</sst>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i/>
      <sz val="11"/>
      <color rgb="FF1F2937"/>
      <name val="Carlito"/>
    </font>
    <font>
      <i/>
      <sz val="11"/>
      <name val="Carlito"/>
    </font>
    <font>
      <b/>
      <sz val="16"/>
      <color rgb="FFFFFFFF"/>
      <name val="Carlito"/>
    </font>
    <font>
      <sz val="11"/>
      <color rgb="FFFF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5F7F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4" fontId="0" fillId="4" borderId="0" xfId="0" applyNumberFormat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0" fontId="0" fillId="4" borderId="0" xfId="0" applyNumberFormat="1" applyFill="1" applyAlignment="1">
      <alignment horizontal="center" vertical="center" wrapText="1"/>
    </xf>
    <xf numFmtId="4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 wrapText="1"/>
    </xf>
    <xf numFmtId="4" fontId="6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75"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E2F0D9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 patternType="solid">
          <bgColor rgb="FFE7E6E6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E2F0D9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Perbandingan Jumlah Paket per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5 Agustus</c:v>
          </c:tx>
          <c:invertIfNegative val="1"/>
          <c:cat>
            <c:strRef>
              <c:f>Ringkasan!$A$12:$A$15</c:f>
              <c:strCache>
                <c:ptCount val="4"/>
                <c:pt idx="0">
                  <c:v>BELUM REALISASI</c:v>
                </c:pt>
                <c:pt idx="1">
                  <c:v>ON_PROCESS</c:v>
                </c:pt>
                <c:pt idx="2">
                  <c:v>COMPLETED</c:v>
                </c:pt>
                <c:pt idx="3">
                  <c:v>PAYMENT_OUTSIDE_SYSTEM</c:v>
                </c:pt>
              </c:strCache>
            </c:strRef>
          </c:cat>
          <c:val>
            <c:numRef>
              <c:f>Ringkasan!$B$12:$B$15</c:f>
              <c:numCache>
                <c:formatCode>General</c:formatCode>
                <c:ptCount val="4"/>
                <c:pt idx="0">
                  <c:v>118</c:v>
                </c:pt>
                <c:pt idx="1">
                  <c:v>11</c:v>
                </c:pt>
                <c:pt idx="2">
                  <c:v>17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C-43BC-9CE8-FCDF7B56AE59}"/>
            </c:ext>
          </c:extLst>
        </c:ser>
        <c:ser>
          <c:idx val="1"/>
          <c:order val="1"/>
          <c:tx>
            <c:v>14 Agustus</c:v>
          </c:tx>
          <c:invertIfNegative val="1"/>
          <c:cat>
            <c:strRef>
              <c:f>Ringkasan!$A$12:$A$15</c:f>
              <c:strCache>
                <c:ptCount val="4"/>
                <c:pt idx="0">
                  <c:v>BELUM REALISASI</c:v>
                </c:pt>
                <c:pt idx="1">
                  <c:v>ON_PROCESS</c:v>
                </c:pt>
                <c:pt idx="2">
                  <c:v>COMPLETED</c:v>
                </c:pt>
                <c:pt idx="3">
                  <c:v>PAYMENT_OUTSIDE_SYSTEM</c:v>
                </c:pt>
              </c:strCache>
            </c:strRef>
          </c:cat>
          <c:val>
            <c:numRef>
              <c:f>Ringkasan!$C$12:$C$15</c:f>
              <c:numCache>
                <c:formatCode>General</c:formatCode>
                <c:ptCount val="4"/>
                <c:pt idx="0">
                  <c:v>133</c:v>
                </c:pt>
                <c:pt idx="1">
                  <c:v>13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2C-43BC-9CE8-FCDF7B56A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omparisonTable" displayName="ComparisonTable" ref="A4:Q162" totalsRowShown="0" headerRowDxfId="74" dataDxfId="73">
  <autoFilter ref="A4:Q162" xr:uid="{00000000-000C-0000-FFFF-FFFF00000000}"/>
  <tableColumns count="17">
    <tableColumn id="1" xr3:uid="{00000000-0010-0000-0000-000001000000}" name="Kode RUP" dataDxfId="72"/>
    <tableColumn id="2" xr3:uid="{00000000-0010-0000-0000-000002000000}" name="Kategori Perubahan" dataDxfId="71"/>
    <tableColumn id="3" xr3:uid="{00000000-0010-0000-0000-000003000000}" name="Field Berubah" dataDxfId="70"/>
    <tableColumn id="4" xr3:uid="{00000000-0010-0000-0000-000004000000}" name="Nama Paket" dataDxfId="69"/>
    <tableColumn id="5" xr3:uid="{00000000-0010-0000-0000-000005000000}" name="Metode 05 Agu" dataDxfId="68"/>
    <tableColumn id="6" xr3:uid="{00000000-0010-0000-0000-000006000000}" name="Metode 12 Agu" dataDxfId="67"/>
    <tableColumn id="7" xr3:uid="{00000000-0010-0000-0000-000007000000}" name="Status 05 Agu" dataDxfId="66"/>
    <tableColumn id="8" xr3:uid="{00000000-0010-0000-0000-000008000000}" name="Status 12 Agu" dataDxfId="65"/>
    <tableColumn id="9" xr3:uid="{00000000-0010-0000-0000-000009000000}" name="Pagu 05 Agu (Rp)" dataDxfId="64"/>
    <tableColumn id="10" xr3:uid="{00000000-0010-0000-0000-00000A000000}" name="Pagu 12 Agu (Rp)" dataDxfId="63"/>
    <tableColumn id="11" xr3:uid="{00000000-0010-0000-0000-00000B000000}" name="Δ Pagu (Rp)" dataDxfId="62"/>
    <tableColumn id="12" xr3:uid="{00000000-0010-0000-0000-00000C000000}" name="Realisasi 05 Agu (Rp)" dataDxfId="61"/>
    <tableColumn id="13" xr3:uid="{00000000-0010-0000-0000-00000D000000}" name="Realisasi 12 Agu (Rp)" dataDxfId="60"/>
    <tableColumn id="14" xr3:uid="{00000000-0010-0000-0000-00000E000000}" name="Δ Realisasi (Rp)" dataDxfId="59"/>
    <tableColumn id="15" xr3:uid="{00000000-0010-0000-0000-00000F000000}" name="Realisasi 05 Agu (%)" dataDxfId="58"/>
    <tableColumn id="16" xr3:uid="{00000000-0010-0000-0000-000010000000}" name="Realisasi 12 Agu (%)" dataDxfId="57"/>
    <tableColumn id="17" xr3:uid="{00000000-0010-0000-0000-000011000000}" name="Δ Realisasi (pp)" dataDxfId="5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ChangesTable" displayName="ChangesTable" ref="A4:Q56" totalsRowShown="0" headerRowDxfId="55" dataDxfId="54">
  <autoFilter ref="A4:Q56" xr:uid="{00000000-000C-0000-FFFF-FFFF01000000}">
    <filterColumn colId="6">
      <filters>
        <filter val="COMPLETED"/>
      </filters>
    </filterColumn>
  </autoFilter>
  <tableColumns count="17">
    <tableColumn id="1" xr3:uid="{00000000-0010-0000-0100-000001000000}" name="Kode RUP" dataDxfId="53"/>
    <tableColumn id="2" xr3:uid="{00000000-0010-0000-0100-000002000000}" name="Kategori Perubahan" dataDxfId="52"/>
    <tableColumn id="3" xr3:uid="{00000000-0010-0000-0100-000003000000}" name="Field Berubah" dataDxfId="51"/>
    <tableColumn id="4" xr3:uid="{00000000-0010-0000-0100-000004000000}" name="Nama Paket" dataDxfId="50"/>
    <tableColumn id="5" xr3:uid="{00000000-0010-0000-0100-000005000000}" name="Metode 05 Agu" dataDxfId="49"/>
    <tableColumn id="6" xr3:uid="{00000000-0010-0000-0100-000006000000}" name="Metode 12 Agu" dataDxfId="48"/>
    <tableColumn id="7" xr3:uid="{00000000-0010-0000-0100-000007000000}" name="Status 05 Agu" dataDxfId="47"/>
    <tableColumn id="8" xr3:uid="{00000000-0010-0000-0100-000008000000}" name="Status 12 Agu" dataDxfId="46"/>
    <tableColumn id="9" xr3:uid="{00000000-0010-0000-0100-000009000000}" name="Pagu 05 Agu (Rp)" dataDxfId="45"/>
    <tableColumn id="10" xr3:uid="{00000000-0010-0000-0100-00000A000000}" name="Pagu 12 Agu (Rp)" dataDxfId="44"/>
    <tableColumn id="11" xr3:uid="{00000000-0010-0000-0100-00000B000000}" name="Δ Pagu (Rp)" dataDxfId="43"/>
    <tableColumn id="12" xr3:uid="{00000000-0010-0000-0100-00000C000000}" name="Realisasi 05 Agu (Rp)" dataDxfId="42"/>
    <tableColumn id="13" xr3:uid="{00000000-0010-0000-0100-00000D000000}" name="Realisasi 12 Agu (Rp)" dataDxfId="41"/>
    <tableColumn id="14" xr3:uid="{00000000-0010-0000-0100-00000E000000}" name="Δ Realisasi (Rp)" dataDxfId="40"/>
    <tableColumn id="15" xr3:uid="{00000000-0010-0000-0100-00000F000000}" name="Realisasi 05 Agu (%)" dataDxfId="39"/>
    <tableColumn id="16" xr3:uid="{00000000-0010-0000-0100-000010000000}" name="Realisasi 12 Agu (%)" dataDxfId="38"/>
    <tableColumn id="17" xr3:uid="{00000000-0010-0000-0100-000011000000}" name="Δ Realisasi (pp)" dataDxfId="3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Data05Table" displayName="Data05Table" ref="A3:L152" totalsRowShown="0" headerRowDxfId="36" dataDxfId="35">
  <tableColumns count="12">
    <tableColumn id="1" xr3:uid="{00000000-0010-0000-0200-000001000000}" name="Kode RUP" dataDxfId="34"/>
    <tableColumn id="2" xr3:uid="{00000000-0010-0000-0200-000002000000}" name="Satuan Kerja" dataDxfId="33"/>
    <tableColumn id="3" xr3:uid="{00000000-0010-0000-0200-000003000000}" name="Nama PPK" dataDxfId="32"/>
    <tableColumn id="4" xr3:uid="{00000000-0010-0000-0200-000004000000}" name="Nama Paket" dataDxfId="31"/>
    <tableColumn id="5" xr3:uid="{00000000-0010-0000-0200-000005000000}" name="Metode" dataDxfId="30"/>
    <tableColumn id="6" xr3:uid="{00000000-0010-0000-0200-000006000000}" name="Status" dataDxfId="29"/>
    <tableColumn id="7" xr3:uid="{00000000-0010-0000-0200-000007000000}" name="Pagu (Rp)" dataDxfId="28"/>
    <tableColumn id="8" xr3:uid="{00000000-0010-0000-0200-000008000000}" name="Realisasi (Rp)" dataDxfId="27"/>
    <tableColumn id="9" xr3:uid="{00000000-0010-0000-0200-000009000000}" name="Realisasi (%)" dataDxfId="26"/>
    <tableColumn id="10" xr3:uid="{00000000-0010-0000-0200-00000A000000}" name="Status Kurasi AI" dataDxfId="25"/>
    <tableColumn id="11" xr3:uid="{00000000-0010-0000-0200-00000B000000}" name="Catatan Kurasi AI" dataDxfId="24"/>
    <tableColumn id="12" xr3:uid="{00000000-0010-0000-0200-00000C000000}" name="Rekomendasi Kurasi AI" dataDxfId="2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Data14Table" displayName="Data14Table" ref="A3:L159" totalsRowShown="0" dataDxfId="22">
  <autoFilter ref="A3:L159" xr:uid="{00000000-000C-0000-FFFF-FFFF03000000}"/>
  <tableColumns count="12">
    <tableColumn id="1" xr3:uid="{00000000-0010-0000-0300-000001000000}" name="Kode RUP" dataDxfId="21"/>
    <tableColumn id="2" xr3:uid="{00000000-0010-0000-0300-000002000000}" name="Satuan Kerja" dataDxfId="20"/>
    <tableColumn id="3" xr3:uid="{00000000-0010-0000-0300-000003000000}" name="Nama PPK" dataDxfId="19"/>
    <tableColumn id="4" xr3:uid="{00000000-0010-0000-0300-000004000000}" name="Nama Paket" dataDxfId="18"/>
    <tableColumn id="5" xr3:uid="{00000000-0010-0000-0300-000005000000}" name="Metode" dataDxfId="17"/>
    <tableColumn id="6" xr3:uid="{00000000-0010-0000-0300-000006000000}" name="Status" dataDxfId="16"/>
    <tableColumn id="7" xr3:uid="{00000000-0010-0000-0300-000007000000}" name="Pagu (Rp)" dataDxfId="15"/>
    <tableColumn id="8" xr3:uid="{00000000-0010-0000-0300-000008000000}" name="Realisasi (Rp)" dataDxfId="14"/>
    <tableColumn id="9" xr3:uid="{00000000-0010-0000-0300-000009000000}" name="Realisasi (%)" dataDxfId="13"/>
    <tableColumn id="10" xr3:uid="{00000000-0010-0000-0300-00000A000000}" name="Status Kurasi AI" dataDxfId="12"/>
    <tableColumn id="11" xr3:uid="{00000000-0010-0000-0300-00000B000000}" name="Catatan Kurasi AI" dataDxfId="11"/>
    <tableColumn id="12" xr3:uid="{00000000-0010-0000-0300-00000C000000}" name="Rekomendasi Kurasi AI" dataDxfId="1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B20" sqref="B20"/>
    </sheetView>
  </sheetViews>
  <sheetFormatPr defaultRowHeight="13.5"/>
  <cols>
    <col min="1" max="1" width="28" style="3" customWidth="1"/>
    <col min="2" max="4" width="18" style="3" customWidth="1"/>
    <col min="5" max="5" width="3" style="3" customWidth="1"/>
    <col min="6" max="6" width="28" style="3" customWidth="1"/>
    <col min="7" max="7" width="15" style="3" customWidth="1"/>
    <col min="8" max="8" width="44" style="3" customWidth="1"/>
    <col min="9" max="16384" width="9" style="3"/>
  </cols>
  <sheetData>
    <row r="1" spans="1:8" ht="20.65">
      <c r="A1" s="16" t="s">
        <v>0</v>
      </c>
      <c r="B1" s="16"/>
      <c r="C1" s="16"/>
      <c r="D1" s="16"/>
      <c r="E1" s="16"/>
      <c r="F1" s="16"/>
      <c r="G1" s="16"/>
      <c r="H1" s="16"/>
    </row>
    <row r="2" spans="1:8" ht="13.9">
      <c r="A2" s="17" t="s">
        <v>477</v>
      </c>
      <c r="B2" s="17"/>
      <c r="C2" s="17"/>
      <c r="D2" s="17"/>
      <c r="E2" s="17"/>
      <c r="F2" s="17"/>
      <c r="G2" s="17"/>
      <c r="H2" s="17"/>
    </row>
    <row r="4" spans="1:8" ht="13.9">
      <c r="A4" s="1" t="s">
        <v>1</v>
      </c>
      <c r="B4" s="1" t="s">
        <v>2</v>
      </c>
      <c r="C4" s="1" t="s">
        <v>478</v>
      </c>
      <c r="D4" s="1" t="s">
        <v>3</v>
      </c>
      <c r="F4" s="1" t="s">
        <v>4</v>
      </c>
      <c r="G4" s="1" t="s">
        <v>5</v>
      </c>
      <c r="H4" s="1" t="s">
        <v>6</v>
      </c>
    </row>
    <row r="5" spans="1:8">
      <c r="A5" s="4" t="s">
        <v>7</v>
      </c>
      <c r="B5" s="7">
        <f>COUNTA(Data_05_Agu!A4:A1000)</f>
        <v>149</v>
      </c>
      <c r="C5" s="7">
        <f>COUNTA(Data_12_Agu!A4:A1000)</f>
        <v>156</v>
      </c>
      <c r="D5" s="7">
        <f>C5-B5</f>
        <v>7</v>
      </c>
      <c r="F5" s="3" t="s">
        <v>482</v>
      </c>
      <c r="G5" s="6">
        <f>COUNTIF(Perbandingan!B:B,F5)</f>
        <v>9</v>
      </c>
      <c r="H5" s="3" t="s">
        <v>483</v>
      </c>
    </row>
    <row r="6" spans="1:8" ht="27">
      <c r="A6" s="4" t="s">
        <v>8</v>
      </c>
      <c r="B6" s="5">
        <f>SUM(Data_05_Agu!G4:G1000)</f>
        <v>15456001028</v>
      </c>
      <c r="C6" s="5">
        <f>SUM(Data_12_Agu!G4:G1000)</f>
        <v>15005184004</v>
      </c>
      <c r="D6" s="5">
        <f>C6-B6</f>
        <v>-450817024</v>
      </c>
      <c r="F6" s="3" t="s">
        <v>484</v>
      </c>
      <c r="G6" s="6">
        <f>COUNTIF(Perbandingan!B:B,F6)</f>
        <v>2</v>
      </c>
      <c r="H6" s="3" t="s">
        <v>485</v>
      </c>
    </row>
    <row r="7" spans="1:8">
      <c r="A7" s="4" t="s">
        <v>9</v>
      </c>
      <c r="B7" s="5">
        <f>SUM(Data_05_Agu!H4:H1000)</f>
        <v>6749393388.3900013</v>
      </c>
      <c r="C7" s="5">
        <f>SUM(Data_12_Agu!H4:H1000)</f>
        <v>5802553331</v>
      </c>
      <c r="D7" s="5">
        <f>C7-B7</f>
        <v>-946840057.3900013</v>
      </c>
      <c r="F7" s="3" t="s">
        <v>10</v>
      </c>
      <c r="G7" s="6">
        <f>COUNTIF(Perbandingan!B:B,F7)</f>
        <v>41</v>
      </c>
      <c r="H7" s="3" t="s">
        <v>11</v>
      </c>
    </row>
    <row r="8" spans="1:8">
      <c r="A8" s="4" t="s">
        <v>12</v>
      </c>
      <c r="B8" s="8">
        <f>IFERROR(B7/B6,0)</f>
        <v>0.43668432579441735</v>
      </c>
      <c r="C8" s="8">
        <f>IFERROR(C7/C6,0)</f>
        <v>0.38670324398908984</v>
      </c>
      <c r="D8" s="8">
        <f>C8-B8</f>
        <v>-4.998108180532751E-2</v>
      </c>
      <c r="F8" s="3" t="s">
        <v>13</v>
      </c>
      <c r="G8" s="6">
        <f>COUNTIF(Perbandingan!B:B,F8)</f>
        <v>106</v>
      </c>
      <c r="H8" s="3" t="s">
        <v>14</v>
      </c>
    </row>
    <row r="11" spans="1:8" ht="13.9">
      <c r="A11" s="1" t="s">
        <v>15</v>
      </c>
      <c r="B11" s="1" t="s">
        <v>16</v>
      </c>
      <c r="C11" s="1" t="s">
        <v>486</v>
      </c>
      <c r="F11" s="1" t="s">
        <v>17</v>
      </c>
      <c r="G11" s="1" t="s">
        <v>16</v>
      </c>
      <c r="H11" s="1" t="s">
        <v>486</v>
      </c>
    </row>
    <row r="12" spans="1:8">
      <c r="A12" s="3" t="s">
        <v>18</v>
      </c>
      <c r="B12" s="6">
        <f>COUNTIF(Data_05_Agu!F:F,A12)</f>
        <v>118</v>
      </c>
      <c r="C12" s="6">
        <f>COUNTIF(Data_12_Agu!F:F,A12)</f>
        <v>133</v>
      </c>
      <c r="F12" s="3" t="s">
        <v>19</v>
      </c>
      <c r="G12" s="6">
        <f>COUNTIF(Data_05_Agu!E:E,F12)</f>
        <v>38</v>
      </c>
      <c r="H12" s="6">
        <f>COUNTIF(Data_12_Agu!E:E,F12)</f>
        <v>40</v>
      </c>
    </row>
    <row r="13" spans="1:8">
      <c r="A13" s="3" t="s">
        <v>20</v>
      </c>
      <c r="B13" s="6">
        <f>COUNTIF(Data_05_Agu!F:F,A13)</f>
        <v>11</v>
      </c>
      <c r="C13" s="6">
        <f>COUNTIF(Data_12_Agu!F:F,A13)</f>
        <v>13</v>
      </c>
      <c r="F13" s="3" t="s">
        <v>21</v>
      </c>
      <c r="G13" s="6">
        <f>COUNTIF(Data_05_Agu!E:E,F13)</f>
        <v>111</v>
      </c>
      <c r="H13" s="6">
        <f>COUNTIF(Data_12_Agu!E:E,F13)</f>
        <v>115</v>
      </c>
    </row>
    <row r="14" spans="1:8">
      <c r="A14" s="3" t="s">
        <v>22</v>
      </c>
      <c r="B14" s="6">
        <f>COUNTIF(Data_05_Agu!F:F,A14)</f>
        <v>17</v>
      </c>
      <c r="C14" s="6">
        <f>COUNTIF(Data_12_Agu!F:F,A14)</f>
        <v>7</v>
      </c>
      <c r="F14" s="3" t="s">
        <v>23</v>
      </c>
      <c r="G14" s="6">
        <f>COUNTIF(Data_05_Agu!E:E,F14)</f>
        <v>0</v>
      </c>
      <c r="H14" s="6">
        <f>COUNTIF(Data_12_Agu!E:E,F14)</f>
        <v>1</v>
      </c>
    </row>
    <row r="15" spans="1:8">
      <c r="A15" s="3" t="s">
        <v>24</v>
      </c>
      <c r="B15" s="6">
        <f>COUNTIF(Data_05_Agu!F:F,A15)</f>
        <v>3</v>
      </c>
      <c r="C15" s="6">
        <f>COUNTIF(Data_12_Agu!F:F,A15)</f>
        <v>3</v>
      </c>
    </row>
    <row r="18" spans="1:8" ht="13.9">
      <c r="A18" s="1" t="s">
        <v>25</v>
      </c>
      <c r="B18" s="1" t="s">
        <v>5</v>
      </c>
      <c r="C18" s="1" t="s">
        <v>26</v>
      </c>
      <c r="F18" s="18" t="s">
        <v>27</v>
      </c>
      <c r="G18" s="18"/>
      <c r="H18" s="18"/>
    </row>
    <row r="19" spans="1:8" ht="81">
      <c r="A19" s="3" t="s">
        <v>28</v>
      </c>
      <c r="B19" s="6">
        <f>COUNTIFS(Perbandingan!G:G,"COMPLETED",Perbandingan!H:H,"BELUM REALISASI")</f>
        <v>10</v>
      </c>
      <c r="C19" s="3" t="s">
        <v>29</v>
      </c>
      <c r="F19" s="19" t="s">
        <v>30</v>
      </c>
      <c r="G19" s="19"/>
      <c r="H19" s="19"/>
    </row>
    <row r="20" spans="1:8" ht="67.5">
      <c r="A20" s="3" t="s">
        <v>31</v>
      </c>
      <c r="B20" s="6">
        <f>COUNTIFS(Perbandingan!G:G,"BELUM REALISASI",Perbandingan!H:H,"ON_PROCESS")</f>
        <v>2</v>
      </c>
      <c r="C20" s="3" t="s">
        <v>32</v>
      </c>
      <c r="F20" s="19"/>
      <c r="G20" s="19"/>
      <c r="H20" s="19"/>
    </row>
    <row r="21" spans="1:8">
      <c r="F21" s="19"/>
      <c r="G21" s="19"/>
      <c r="H21" s="19"/>
    </row>
  </sheetData>
  <mergeCells count="4">
    <mergeCell ref="A1:H1"/>
    <mergeCell ref="A2:H2"/>
    <mergeCell ref="F18:H18"/>
    <mergeCell ref="F19:H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2"/>
  <sheetViews>
    <sheetView topLeftCell="D1" workbookViewId="0">
      <selection activeCell="G89" sqref="G89"/>
    </sheetView>
  </sheetViews>
  <sheetFormatPr defaultRowHeight="13.5"/>
  <cols>
    <col min="1" max="1" width="13" style="2" customWidth="1"/>
    <col min="2" max="2" width="23" style="11" customWidth="1"/>
    <col min="3" max="3" width="34" style="2" customWidth="1"/>
    <col min="4" max="4" width="48" style="2" customWidth="1"/>
    <col min="5" max="6" width="20" style="2" customWidth="1"/>
    <col min="7" max="8" width="22" style="2" customWidth="1"/>
    <col min="9" max="10" width="18" style="2" customWidth="1"/>
    <col min="11" max="11" width="17" style="2" customWidth="1"/>
    <col min="12" max="13" width="20" style="2" customWidth="1"/>
    <col min="14" max="14" width="19" style="2" customWidth="1"/>
    <col min="15" max="17" width="18" style="2" customWidth="1"/>
    <col min="18" max="16384" width="9" style="2"/>
  </cols>
  <sheetData>
    <row r="1" spans="1:17" ht="17.649999999999999">
      <c r="A1" s="20" t="s">
        <v>479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3.9">
      <c r="A2" s="21" t="s">
        <v>487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4" spans="1:17" ht="27.75">
      <c r="A4" s="1" t="s">
        <v>33</v>
      </c>
      <c r="B4" s="1" t="s">
        <v>4</v>
      </c>
      <c r="C4" s="1" t="s">
        <v>34</v>
      </c>
      <c r="D4" s="1" t="s">
        <v>35</v>
      </c>
      <c r="E4" s="1" t="s">
        <v>36</v>
      </c>
      <c r="F4" s="1" t="s">
        <v>488</v>
      </c>
      <c r="G4" s="1" t="s">
        <v>37</v>
      </c>
      <c r="H4" s="1" t="s">
        <v>489</v>
      </c>
      <c r="I4" s="1" t="s">
        <v>38</v>
      </c>
      <c r="J4" s="1" t="s">
        <v>490</v>
      </c>
      <c r="K4" s="1" t="s">
        <v>39</v>
      </c>
      <c r="L4" s="1" t="s">
        <v>40</v>
      </c>
      <c r="M4" s="1" t="s">
        <v>491</v>
      </c>
      <c r="N4" s="1" t="s">
        <v>41</v>
      </c>
      <c r="O4" s="1" t="s">
        <v>42</v>
      </c>
      <c r="P4" s="1" t="s">
        <v>492</v>
      </c>
      <c r="Q4" s="1" t="s">
        <v>43</v>
      </c>
    </row>
    <row r="5" spans="1:17">
      <c r="A5" s="3" t="s">
        <v>44</v>
      </c>
      <c r="B5" s="6" t="s">
        <v>13</v>
      </c>
      <c r="C5" s="3" t="s">
        <v>45</v>
      </c>
      <c r="D5" s="3" t="s">
        <v>46</v>
      </c>
      <c r="E5" s="3" t="s">
        <v>21</v>
      </c>
      <c r="F5" s="3" t="s">
        <v>21</v>
      </c>
      <c r="G5" s="3" t="s">
        <v>18</v>
      </c>
      <c r="H5" s="3" t="s">
        <v>18</v>
      </c>
      <c r="I5" s="9">
        <v>45000000</v>
      </c>
      <c r="J5" s="9">
        <v>45000000</v>
      </c>
      <c r="K5" s="9">
        <f t="shared" ref="K5:K36" si="0">IF(OR(I5="",J5=""),"",J5-I5)</f>
        <v>0</v>
      </c>
      <c r="L5" s="9">
        <v>0</v>
      </c>
      <c r="M5" s="9">
        <v>0</v>
      </c>
      <c r="N5" s="9">
        <f t="shared" ref="N5:N36" si="1">IF(OR(L5="",M5=""),"",M5-L5)</f>
        <v>0</v>
      </c>
      <c r="O5" s="10">
        <v>0</v>
      </c>
      <c r="P5" s="10">
        <v>0</v>
      </c>
      <c r="Q5" s="10">
        <f t="shared" ref="Q5:Q36" si="2">IF(OR(O5="",P5=""),"",P5-O5)</f>
        <v>0</v>
      </c>
    </row>
    <row r="6" spans="1:17">
      <c r="A6" s="3" t="s">
        <v>47</v>
      </c>
      <c r="B6" s="6" t="s">
        <v>13</v>
      </c>
      <c r="C6" s="3" t="s">
        <v>45</v>
      </c>
      <c r="D6" s="3" t="s">
        <v>48</v>
      </c>
      <c r="E6" s="3" t="s">
        <v>19</v>
      </c>
      <c r="F6" s="3" t="s">
        <v>19</v>
      </c>
      <c r="G6" s="3" t="s">
        <v>20</v>
      </c>
      <c r="H6" s="3" t="s">
        <v>20</v>
      </c>
      <c r="I6" s="9">
        <v>300000000</v>
      </c>
      <c r="J6" s="9">
        <v>300000000</v>
      </c>
      <c r="K6" s="9">
        <f t="shared" si="0"/>
        <v>0</v>
      </c>
      <c r="L6" s="9">
        <v>299999700</v>
      </c>
      <c r="M6" s="9">
        <v>299999700</v>
      </c>
      <c r="N6" s="9">
        <f t="shared" si="1"/>
        <v>0</v>
      </c>
      <c r="O6" s="10">
        <v>100</v>
      </c>
      <c r="P6" s="10">
        <v>100</v>
      </c>
      <c r="Q6" s="10">
        <f t="shared" si="2"/>
        <v>0</v>
      </c>
    </row>
    <row r="7" spans="1:17">
      <c r="A7" s="3" t="s">
        <v>49</v>
      </c>
      <c r="B7" s="6" t="s">
        <v>13</v>
      </c>
      <c r="C7" s="3" t="s">
        <v>45</v>
      </c>
      <c r="D7" s="3" t="s">
        <v>50</v>
      </c>
      <c r="E7" s="3" t="s">
        <v>21</v>
      </c>
      <c r="F7" s="3" t="s">
        <v>21</v>
      </c>
      <c r="G7" s="3" t="s">
        <v>18</v>
      </c>
      <c r="H7" s="3" t="s">
        <v>18</v>
      </c>
      <c r="I7" s="9">
        <v>66000000</v>
      </c>
      <c r="J7" s="9">
        <v>66000000</v>
      </c>
      <c r="K7" s="9">
        <f t="shared" si="0"/>
        <v>0</v>
      </c>
      <c r="L7" s="9">
        <v>0</v>
      </c>
      <c r="M7" s="9">
        <v>0</v>
      </c>
      <c r="N7" s="9">
        <f t="shared" si="1"/>
        <v>0</v>
      </c>
      <c r="O7" s="10">
        <v>0</v>
      </c>
      <c r="P7" s="10">
        <v>0</v>
      </c>
      <c r="Q7" s="10">
        <f t="shared" si="2"/>
        <v>0</v>
      </c>
    </row>
    <row r="8" spans="1:17">
      <c r="A8" s="3" t="s">
        <v>51</v>
      </c>
      <c r="B8" s="6" t="s">
        <v>13</v>
      </c>
      <c r="C8" s="3" t="s">
        <v>45</v>
      </c>
      <c r="D8" s="3" t="s">
        <v>52</v>
      </c>
      <c r="E8" s="3" t="s">
        <v>21</v>
      </c>
      <c r="F8" s="3" t="s">
        <v>21</v>
      </c>
      <c r="G8" s="3" t="s">
        <v>18</v>
      </c>
      <c r="H8" s="3" t="s">
        <v>18</v>
      </c>
      <c r="I8" s="9">
        <v>147600000</v>
      </c>
      <c r="J8" s="9">
        <v>147600000</v>
      </c>
      <c r="K8" s="9">
        <f t="shared" si="0"/>
        <v>0</v>
      </c>
      <c r="L8" s="9">
        <v>0</v>
      </c>
      <c r="M8" s="9">
        <v>0</v>
      </c>
      <c r="N8" s="9">
        <f t="shared" si="1"/>
        <v>0</v>
      </c>
      <c r="O8" s="10">
        <v>0</v>
      </c>
      <c r="P8" s="10">
        <v>0</v>
      </c>
      <c r="Q8" s="10">
        <f t="shared" si="2"/>
        <v>0</v>
      </c>
    </row>
    <row r="9" spans="1:17">
      <c r="A9" s="3" t="s">
        <v>53</v>
      </c>
      <c r="B9" s="6" t="s">
        <v>10</v>
      </c>
      <c r="C9" s="3" t="s">
        <v>17</v>
      </c>
      <c r="D9" s="3" t="s">
        <v>54</v>
      </c>
      <c r="E9" s="3" t="s">
        <v>21</v>
      </c>
      <c r="F9" s="3" t="s">
        <v>23</v>
      </c>
      <c r="G9" s="3" t="s">
        <v>18</v>
      </c>
      <c r="H9" s="3" t="s">
        <v>18</v>
      </c>
      <c r="I9" s="9">
        <v>480000000</v>
      </c>
      <c r="J9" s="9">
        <v>480000000</v>
      </c>
      <c r="K9" s="9">
        <f t="shared" si="0"/>
        <v>0</v>
      </c>
      <c r="L9" s="9">
        <v>0</v>
      </c>
      <c r="M9" s="9">
        <v>0</v>
      </c>
      <c r="N9" s="9">
        <f t="shared" si="1"/>
        <v>0</v>
      </c>
      <c r="O9" s="10">
        <v>0</v>
      </c>
      <c r="P9" s="10">
        <v>0</v>
      </c>
      <c r="Q9" s="10">
        <f t="shared" si="2"/>
        <v>0</v>
      </c>
    </row>
    <row r="10" spans="1:17">
      <c r="A10" s="3" t="s">
        <v>55</v>
      </c>
      <c r="B10" s="6" t="s">
        <v>13</v>
      </c>
      <c r="C10" s="3" t="s">
        <v>45</v>
      </c>
      <c r="D10" s="3" t="s">
        <v>56</v>
      </c>
      <c r="E10" s="3" t="s">
        <v>21</v>
      </c>
      <c r="F10" s="3" t="s">
        <v>21</v>
      </c>
      <c r="G10" s="3" t="s">
        <v>22</v>
      </c>
      <c r="H10" s="3" t="s">
        <v>22</v>
      </c>
      <c r="I10" s="9">
        <v>90000000</v>
      </c>
      <c r="J10" s="9">
        <v>90000000</v>
      </c>
      <c r="K10" s="9">
        <f t="shared" si="0"/>
        <v>0</v>
      </c>
      <c r="L10" s="9">
        <v>68971100</v>
      </c>
      <c r="M10" s="9">
        <v>68971100</v>
      </c>
      <c r="N10" s="9">
        <f t="shared" si="1"/>
        <v>0</v>
      </c>
      <c r="O10" s="10">
        <v>77</v>
      </c>
      <c r="P10" s="10">
        <v>77</v>
      </c>
      <c r="Q10" s="10">
        <f t="shared" si="2"/>
        <v>0</v>
      </c>
    </row>
    <row r="11" spans="1:17">
      <c r="A11" s="3" t="s">
        <v>57</v>
      </c>
      <c r="B11" s="6" t="s">
        <v>13</v>
      </c>
      <c r="C11" s="3" t="s">
        <v>45</v>
      </c>
      <c r="D11" s="3" t="s">
        <v>58</v>
      </c>
      <c r="E11" s="3" t="s">
        <v>19</v>
      </c>
      <c r="F11" s="3" t="s">
        <v>19</v>
      </c>
      <c r="G11" s="3" t="s">
        <v>20</v>
      </c>
      <c r="H11" s="3" t="s">
        <v>20</v>
      </c>
      <c r="I11" s="9">
        <v>743952000</v>
      </c>
      <c r="J11" s="9">
        <v>743952000</v>
      </c>
      <c r="K11" s="9">
        <f t="shared" si="0"/>
        <v>0</v>
      </c>
      <c r="L11" s="9">
        <v>743882568</v>
      </c>
      <c r="M11" s="9">
        <v>743882568</v>
      </c>
      <c r="N11" s="9">
        <f t="shared" si="1"/>
        <v>0</v>
      </c>
      <c r="O11" s="10">
        <v>100</v>
      </c>
      <c r="P11" s="10">
        <v>100</v>
      </c>
      <c r="Q11" s="10">
        <f t="shared" si="2"/>
        <v>0</v>
      </c>
    </row>
    <row r="12" spans="1:17">
      <c r="A12" s="3" t="s">
        <v>59</v>
      </c>
      <c r="B12" s="6" t="s">
        <v>13</v>
      </c>
      <c r="C12" s="3" t="s">
        <v>45</v>
      </c>
      <c r="D12" s="3" t="s">
        <v>60</v>
      </c>
      <c r="E12" s="3" t="s">
        <v>21</v>
      </c>
      <c r="F12" s="3" t="s">
        <v>21</v>
      </c>
      <c r="G12" s="3" t="s">
        <v>18</v>
      </c>
      <c r="H12" s="3" t="s">
        <v>18</v>
      </c>
      <c r="I12" s="9">
        <v>3200000</v>
      </c>
      <c r="J12" s="9">
        <v>3200000</v>
      </c>
      <c r="K12" s="9">
        <f t="shared" si="0"/>
        <v>0</v>
      </c>
      <c r="L12" s="9">
        <v>0</v>
      </c>
      <c r="M12" s="9">
        <v>0</v>
      </c>
      <c r="N12" s="9">
        <f t="shared" si="1"/>
        <v>0</v>
      </c>
      <c r="O12" s="10">
        <v>0</v>
      </c>
      <c r="P12" s="10">
        <v>0</v>
      </c>
      <c r="Q12" s="10">
        <f t="shared" si="2"/>
        <v>0</v>
      </c>
    </row>
    <row r="13" spans="1:17">
      <c r="A13" s="3" t="s">
        <v>61</v>
      </c>
      <c r="B13" s="6" t="s">
        <v>13</v>
      </c>
      <c r="C13" s="3" t="s">
        <v>45</v>
      </c>
      <c r="D13" s="3" t="s">
        <v>62</v>
      </c>
      <c r="E13" s="3" t="s">
        <v>21</v>
      </c>
      <c r="F13" s="3" t="s">
        <v>21</v>
      </c>
      <c r="G13" s="3" t="s">
        <v>18</v>
      </c>
      <c r="H13" s="3" t="s">
        <v>18</v>
      </c>
      <c r="I13" s="9">
        <v>52200000</v>
      </c>
      <c r="J13" s="9">
        <v>52200000</v>
      </c>
      <c r="K13" s="9">
        <f t="shared" si="0"/>
        <v>0</v>
      </c>
      <c r="L13" s="9">
        <v>0</v>
      </c>
      <c r="M13" s="9">
        <v>0</v>
      </c>
      <c r="N13" s="9">
        <f t="shared" si="1"/>
        <v>0</v>
      </c>
      <c r="O13" s="10">
        <v>0</v>
      </c>
      <c r="P13" s="10">
        <v>0</v>
      </c>
      <c r="Q13" s="10">
        <f t="shared" si="2"/>
        <v>0</v>
      </c>
    </row>
    <row r="14" spans="1:17">
      <c r="A14" s="3" t="s">
        <v>63</v>
      </c>
      <c r="B14" s="6" t="s">
        <v>13</v>
      </c>
      <c r="C14" s="3" t="s">
        <v>45</v>
      </c>
      <c r="D14" s="3" t="s">
        <v>64</v>
      </c>
      <c r="E14" s="3" t="s">
        <v>19</v>
      </c>
      <c r="F14" s="3" t="s">
        <v>19</v>
      </c>
      <c r="G14" s="3" t="s">
        <v>18</v>
      </c>
      <c r="H14" s="3" t="s">
        <v>18</v>
      </c>
      <c r="I14" s="9">
        <v>4800000</v>
      </c>
      <c r="J14" s="9">
        <v>4800000</v>
      </c>
      <c r="K14" s="9">
        <f t="shared" si="0"/>
        <v>0</v>
      </c>
      <c r="L14" s="9">
        <v>0</v>
      </c>
      <c r="M14" s="9">
        <v>0</v>
      </c>
      <c r="N14" s="9">
        <f t="shared" si="1"/>
        <v>0</v>
      </c>
      <c r="O14" s="10">
        <v>0</v>
      </c>
      <c r="P14" s="10">
        <v>0</v>
      </c>
      <c r="Q14" s="10">
        <f t="shared" si="2"/>
        <v>0</v>
      </c>
    </row>
    <row r="15" spans="1:17" ht="27">
      <c r="A15" s="3" t="s">
        <v>65</v>
      </c>
      <c r="B15" s="6" t="s">
        <v>13</v>
      </c>
      <c r="C15" s="3" t="s">
        <v>45</v>
      </c>
      <c r="D15" s="3" t="s">
        <v>66</v>
      </c>
      <c r="E15" s="3" t="s">
        <v>19</v>
      </c>
      <c r="F15" s="3" t="s">
        <v>19</v>
      </c>
      <c r="G15" s="3" t="s">
        <v>20</v>
      </c>
      <c r="H15" s="3" t="s">
        <v>20</v>
      </c>
      <c r="I15" s="9">
        <v>253440000</v>
      </c>
      <c r="J15" s="9">
        <v>253440000</v>
      </c>
      <c r="K15" s="9">
        <f t="shared" si="0"/>
        <v>0</v>
      </c>
      <c r="L15" s="9">
        <v>247104000</v>
      </c>
      <c r="M15" s="9">
        <v>247104000</v>
      </c>
      <c r="N15" s="9">
        <f t="shared" si="1"/>
        <v>0</v>
      </c>
      <c r="O15" s="10">
        <v>98</v>
      </c>
      <c r="P15" s="10">
        <v>98</v>
      </c>
      <c r="Q15" s="10">
        <f t="shared" si="2"/>
        <v>0</v>
      </c>
    </row>
    <row r="16" spans="1:17">
      <c r="A16" s="3" t="s">
        <v>67</v>
      </c>
      <c r="B16" s="6" t="s">
        <v>13</v>
      </c>
      <c r="C16" s="3" t="s">
        <v>45</v>
      </c>
      <c r="D16" s="3" t="s">
        <v>68</v>
      </c>
      <c r="E16" s="3" t="s">
        <v>21</v>
      </c>
      <c r="F16" s="3" t="s">
        <v>21</v>
      </c>
      <c r="G16" s="3" t="s">
        <v>18</v>
      </c>
      <c r="H16" s="3" t="s">
        <v>18</v>
      </c>
      <c r="I16" s="9">
        <v>750000</v>
      </c>
      <c r="J16" s="9">
        <v>750000</v>
      </c>
      <c r="K16" s="9">
        <f t="shared" si="0"/>
        <v>0</v>
      </c>
      <c r="L16" s="9">
        <v>0</v>
      </c>
      <c r="M16" s="9">
        <v>0</v>
      </c>
      <c r="N16" s="9">
        <f t="shared" si="1"/>
        <v>0</v>
      </c>
      <c r="O16" s="10">
        <v>0</v>
      </c>
      <c r="P16" s="10">
        <v>0</v>
      </c>
      <c r="Q16" s="10">
        <f t="shared" si="2"/>
        <v>0</v>
      </c>
    </row>
    <row r="17" spans="1:17">
      <c r="A17" s="3" t="s">
        <v>69</v>
      </c>
      <c r="B17" s="6" t="s">
        <v>10</v>
      </c>
      <c r="C17" s="3" t="s">
        <v>70</v>
      </c>
      <c r="D17" s="3" t="s">
        <v>71</v>
      </c>
      <c r="E17" s="3" t="s">
        <v>21</v>
      </c>
      <c r="F17" s="3" t="s">
        <v>21</v>
      </c>
      <c r="G17" s="3" t="s">
        <v>18</v>
      </c>
      <c r="H17" s="3" t="s">
        <v>18</v>
      </c>
      <c r="I17" s="9">
        <v>150000000</v>
      </c>
      <c r="J17" s="9">
        <v>75000000</v>
      </c>
      <c r="K17" s="9">
        <f t="shared" si="0"/>
        <v>-75000000</v>
      </c>
      <c r="L17" s="9">
        <v>0</v>
      </c>
      <c r="M17" s="9">
        <v>0</v>
      </c>
      <c r="N17" s="9">
        <f t="shared" si="1"/>
        <v>0</v>
      </c>
      <c r="O17" s="10">
        <v>0</v>
      </c>
      <c r="P17" s="10">
        <v>0</v>
      </c>
      <c r="Q17" s="10">
        <f t="shared" si="2"/>
        <v>0</v>
      </c>
    </row>
    <row r="18" spans="1:17" ht="27">
      <c r="A18" s="3" t="s">
        <v>72</v>
      </c>
      <c r="B18" s="6" t="s">
        <v>10</v>
      </c>
      <c r="C18" s="3" t="s">
        <v>70</v>
      </c>
      <c r="D18" s="3" t="s">
        <v>73</v>
      </c>
      <c r="E18" s="3" t="s">
        <v>21</v>
      </c>
      <c r="F18" s="3" t="s">
        <v>21</v>
      </c>
      <c r="G18" s="3" t="s">
        <v>18</v>
      </c>
      <c r="H18" s="3" t="s">
        <v>18</v>
      </c>
      <c r="I18" s="9">
        <v>4125000</v>
      </c>
      <c r="J18" s="9">
        <v>8250000</v>
      </c>
      <c r="K18" s="9">
        <f t="shared" si="0"/>
        <v>4125000</v>
      </c>
      <c r="L18" s="9">
        <v>0</v>
      </c>
      <c r="M18" s="9">
        <v>0</v>
      </c>
      <c r="N18" s="9">
        <f t="shared" si="1"/>
        <v>0</v>
      </c>
      <c r="O18" s="10">
        <v>0</v>
      </c>
      <c r="P18" s="10">
        <v>0</v>
      </c>
      <c r="Q18" s="10">
        <f t="shared" si="2"/>
        <v>0</v>
      </c>
    </row>
    <row r="19" spans="1:17" ht="40.5">
      <c r="A19" s="3" t="s">
        <v>74</v>
      </c>
      <c r="B19" s="6" t="s">
        <v>10</v>
      </c>
      <c r="C19" s="3" t="s">
        <v>75</v>
      </c>
      <c r="D19" s="3" t="s">
        <v>76</v>
      </c>
      <c r="E19" s="3" t="s">
        <v>21</v>
      </c>
      <c r="F19" s="3" t="s">
        <v>21</v>
      </c>
      <c r="G19" s="3" t="s">
        <v>22</v>
      </c>
      <c r="H19" s="3" t="s">
        <v>22</v>
      </c>
      <c r="I19" s="9">
        <v>330000000</v>
      </c>
      <c r="J19" s="9">
        <v>115500000</v>
      </c>
      <c r="K19" s="9">
        <f t="shared" si="0"/>
        <v>-214500000</v>
      </c>
      <c r="L19" s="9">
        <v>20982889</v>
      </c>
      <c r="M19" s="9">
        <v>20982889</v>
      </c>
      <c r="N19" s="9">
        <f t="shared" si="1"/>
        <v>0</v>
      </c>
      <c r="O19" s="10">
        <v>6</v>
      </c>
      <c r="P19" s="10">
        <v>18</v>
      </c>
      <c r="Q19" s="10">
        <f t="shared" si="2"/>
        <v>12</v>
      </c>
    </row>
    <row r="20" spans="1:17">
      <c r="A20" s="3" t="s">
        <v>77</v>
      </c>
      <c r="B20" s="6" t="s">
        <v>13</v>
      </c>
      <c r="C20" s="3" t="s">
        <v>45</v>
      </c>
      <c r="D20" s="3" t="s">
        <v>78</v>
      </c>
      <c r="E20" s="3" t="s">
        <v>21</v>
      </c>
      <c r="F20" s="3" t="s">
        <v>21</v>
      </c>
      <c r="G20" s="3" t="s">
        <v>18</v>
      </c>
      <c r="H20" s="3" t="s">
        <v>18</v>
      </c>
      <c r="I20" s="9">
        <v>3750000</v>
      </c>
      <c r="J20" s="9">
        <v>3750000</v>
      </c>
      <c r="K20" s="9">
        <f t="shared" si="0"/>
        <v>0</v>
      </c>
      <c r="L20" s="9">
        <v>0</v>
      </c>
      <c r="M20" s="9">
        <v>0</v>
      </c>
      <c r="N20" s="9">
        <f t="shared" si="1"/>
        <v>0</v>
      </c>
      <c r="O20" s="10">
        <v>0</v>
      </c>
      <c r="P20" s="10">
        <v>0</v>
      </c>
      <c r="Q20" s="10">
        <f t="shared" si="2"/>
        <v>0</v>
      </c>
    </row>
    <row r="21" spans="1:17">
      <c r="A21" s="3" t="s">
        <v>79</v>
      </c>
      <c r="B21" s="6" t="s">
        <v>10</v>
      </c>
      <c r="C21" s="3" t="s">
        <v>80</v>
      </c>
      <c r="D21" s="3" t="s">
        <v>81</v>
      </c>
      <c r="E21" s="3" t="s">
        <v>19</v>
      </c>
      <c r="F21" s="3" t="s">
        <v>19</v>
      </c>
      <c r="G21" s="3" t="s">
        <v>18</v>
      </c>
      <c r="H21" s="3" t="s">
        <v>18</v>
      </c>
      <c r="I21" s="9">
        <v>96000000</v>
      </c>
      <c r="J21" s="9">
        <v>24000000</v>
      </c>
      <c r="K21" s="9">
        <f t="shared" si="0"/>
        <v>-72000000</v>
      </c>
      <c r="L21" s="9">
        <v>0</v>
      </c>
      <c r="M21" s="9">
        <v>0</v>
      </c>
      <c r="N21" s="9">
        <f t="shared" si="1"/>
        <v>0</v>
      </c>
      <c r="O21" s="10">
        <v>0</v>
      </c>
      <c r="P21" s="10">
        <v>0</v>
      </c>
      <c r="Q21" s="10">
        <f t="shared" si="2"/>
        <v>0</v>
      </c>
    </row>
    <row r="22" spans="1:17" ht="27">
      <c r="A22" s="3" t="s">
        <v>82</v>
      </c>
      <c r="B22" s="6" t="s">
        <v>13</v>
      </c>
      <c r="C22" s="3" t="s">
        <v>45</v>
      </c>
      <c r="D22" s="3" t="s">
        <v>83</v>
      </c>
      <c r="E22" s="3" t="s">
        <v>19</v>
      </c>
      <c r="F22" s="3" t="s">
        <v>19</v>
      </c>
      <c r="G22" s="3" t="s">
        <v>18</v>
      </c>
      <c r="H22" s="3" t="s">
        <v>18</v>
      </c>
      <c r="I22" s="9">
        <v>105600000</v>
      </c>
      <c r="J22" s="9">
        <v>105600000</v>
      </c>
      <c r="K22" s="9">
        <f t="shared" si="0"/>
        <v>0</v>
      </c>
      <c r="L22" s="9">
        <v>0</v>
      </c>
      <c r="M22" s="9">
        <v>0</v>
      </c>
      <c r="N22" s="9">
        <f t="shared" si="1"/>
        <v>0</v>
      </c>
      <c r="O22" s="10">
        <v>0</v>
      </c>
      <c r="P22" s="10">
        <v>0</v>
      </c>
      <c r="Q22" s="10">
        <f t="shared" si="2"/>
        <v>0</v>
      </c>
    </row>
    <row r="23" spans="1:17">
      <c r="A23" s="3" t="s">
        <v>84</v>
      </c>
      <c r="B23" s="6" t="s">
        <v>10</v>
      </c>
      <c r="C23" s="3" t="s">
        <v>70</v>
      </c>
      <c r="D23" s="3" t="s">
        <v>85</v>
      </c>
      <c r="E23" s="3" t="s">
        <v>21</v>
      </c>
      <c r="F23" s="3" t="s">
        <v>21</v>
      </c>
      <c r="G23" s="3" t="s">
        <v>18</v>
      </c>
      <c r="H23" s="3" t="s">
        <v>18</v>
      </c>
      <c r="I23" s="9">
        <v>48000000</v>
      </c>
      <c r="J23" s="9">
        <v>33600000</v>
      </c>
      <c r="K23" s="9">
        <f t="shared" si="0"/>
        <v>-14400000</v>
      </c>
      <c r="L23" s="9">
        <v>0</v>
      </c>
      <c r="M23" s="9">
        <v>0</v>
      </c>
      <c r="N23" s="9">
        <f t="shared" si="1"/>
        <v>0</v>
      </c>
      <c r="O23" s="10">
        <v>0</v>
      </c>
      <c r="P23" s="10">
        <v>0</v>
      </c>
      <c r="Q23" s="10">
        <f t="shared" si="2"/>
        <v>0</v>
      </c>
    </row>
    <row r="24" spans="1:17">
      <c r="A24" s="3" t="s">
        <v>86</v>
      </c>
      <c r="B24" s="6" t="s">
        <v>10</v>
      </c>
      <c r="C24" s="3" t="s">
        <v>35</v>
      </c>
      <c r="D24" s="3" t="s">
        <v>87</v>
      </c>
      <c r="E24" s="3" t="s">
        <v>21</v>
      </c>
      <c r="F24" s="3" t="s">
        <v>21</v>
      </c>
      <c r="G24" s="3" t="s">
        <v>18</v>
      </c>
      <c r="H24" s="3" t="s">
        <v>18</v>
      </c>
      <c r="I24" s="9">
        <v>44000000</v>
      </c>
      <c r="J24" s="9">
        <v>44000000</v>
      </c>
      <c r="K24" s="9">
        <f t="shared" si="0"/>
        <v>0</v>
      </c>
      <c r="L24" s="9">
        <v>0</v>
      </c>
      <c r="M24" s="9">
        <v>0</v>
      </c>
      <c r="N24" s="9">
        <f t="shared" si="1"/>
        <v>0</v>
      </c>
      <c r="O24" s="10">
        <v>0</v>
      </c>
      <c r="P24" s="10">
        <v>0</v>
      </c>
      <c r="Q24" s="10">
        <f t="shared" si="2"/>
        <v>0</v>
      </c>
    </row>
    <row r="25" spans="1:17" ht="27">
      <c r="A25" s="3" t="s">
        <v>88</v>
      </c>
      <c r="B25" s="6" t="s">
        <v>13</v>
      </c>
      <c r="C25" s="3" t="s">
        <v>45</v>
      </c>
      <c r="D25" s="3" t="s">
        <v>89</v>
      </c>
      <c r="E25" s="3" t="s">
        <v>19</v>
      </c>
      <c r="F25" s="3" t="s">
        <v>19</v>
      </c>
      <c r="G25" s="3" t="s">
        <v>24</v>
      </c>
      <c r="H25" s="3" t="s">
        <v>24</v>
      </c>
      <c r="I25" s="9">
        <v>72000000</v>
      </c>
      <c r="J25" s="9">
        <v>72000000</v>
      </c>
      <c r="K25" s="9">
        <f t="shared" si="0"/>
        <v>0</v>
      </c>
      <c r="L25" s="9">
        <v>71757504</v>
      </c>
      <c r="M25" s="9">
        <v>71757504</v>
      </c>
      <c r="N25" s="9">
        <f t="shared" si="1"/>
        <v>0</v>
      </c>
      <c r="O25" s="10">
        <v>100</v>
      </c>
      <c r="P25" s="10">
        <v>100</v>
      </c>
      <c r="Q25" s="10">
        <f t="shared" si="2"/>
        <v>0</v>
      </c>
    </row>
    <row r="26" spans="1:17">
      <c r="A26" s="3" t="s">
        <v>90</v>
      </c>
      <c r="B26" s="6" t="s">
        <v>13</v>
      </c>
      <c r="C26" s="3" t="s">
        <v>45</v>
      </c>
      <c r="D26" s="3" t="s">
        <v>91</v>
      </c>
      <c r="E26" s="3" t="s">
        <v>19</v>
      </c>
      <c r="F26" s="3" t="s">
        <v>19</v>
      </c>
      <c r="G26" s="3" t="s">
        <v>18</v>
      </c>
      <c r="H26" s="3" t="s">
        <v>18</v>
      </c>
      <c r="I26" s="9">
        <v>168000000</v>
      </c>
      <c r="J26" s="9">
        <v>168000000</v>
      </c>
      <c r="K26" s="9">
        <f t="shared" si="0"/>
        <v>0</v>
      </c>
      <c r="L26" s="9">
        <v>0</v>
      </c>
      <c r="M26" s="9">
        <v>0</v>
      </c>
      <c r="N26" s="9">
        <f t="shared" si="1"/>
        <v>0</v>
      </c>
      <c r="O26" s="10">
        <v>0</v>
      </c>
      <c r="P26" s="10">
        <v>0</v>
      </c>
      <c r="Q26" s="10">
        <f t="shared" si="2"/>
        <v>0</v>
      </c>
    </row>
    <row r="27" spans="1:17">
      <c r="A27" s="3" t="s">
        <v>92</v>
      </c>
      <c r="B27" s="6" t="s">
        <v>484</v>
      </c>
      <c r="C27" s="3" t="s">
        <v>93</v>
      </c>
      <c r="D27" s="3" t="s">
        <v>94</v>
      </c>
      <c r="E27" s="3" t="s">
        <v>21</v>
      </c>
      <c r="F27" s="3"/>
      <c r="G27" s="3" t="s">
        <v>18</v>
      </c>
      <c r="H27" s="3"/>
      <c r="I27" s="9">
        <v>31544000</v>
      </c>
      <c r="J27" s="9"/>
      <c r="K27" s="9" t="str">
        <f t="shared" si="0"/>
        <v/>
      </c>
      <c r="L27" s="9">
        <v>0</v>
      </c>
      <c r="M27" s="9"/>
      <c r="N27" s="9" t="str">
        <f t="shared" si="1"/>
        <v/>
      </c>
      <c r="O27" s="10">
        <v>0</v>
      </c>
      <c r="P27" s="10"/>
      <c r="Q27" s="10" t="str">
        <f t="shared" si="2"/>
        <v/>
      </c>
    </row>
    <row r="28" spans="1:17">
      <c r="A28" s="3" t="s">
        <v>95</v>
      </c>
      <c r="B28" s="6" t="s">
        <v>10</v>
      </c>
      <c r="C28" s="3" t="s">
        <v>80</v>
      </c>
      <c r="D28" s="3" t="s">
        <v>96</v>
      </c>
      <c r="E28" s="3" t="s">
        <v>21</v>
      </c>
      <c r="F28" s="3" t="s">
        <v>21</v>
      </c>
      <c r="G28" s="3" t="s">
        <v>18</v>
      </c>
      <c r="H28" s="3" t="s">
        <v>18</v>
      </c>
      <c r="I28" s="9">
        <v>189000000</v>
      </c>
      <c r="J28" s="9">
        <v>184500000</v>
      </c>
      <c r="K28" s="9">
        <f t="shared" si="0"/>
        <v>-4500000</v>
      </c>
      <c r="L28" s="9">
        <v>0</v>
      </c>
      <c r="M28" s="9">
        <v>0</v>
      </c>
      <c r="N28" s="9">
        <f t="shared" si="1"/>
        <v>0</v>
      </c>
      <c r="O28" s="10">
        <v>0</v>
      </c>
      <c r="P28" s="10">
        <v>0</v>
      </c>
      <c r="Q28" s="10">
        <f t="shared" si="2"/>
        <v>0</v>
      </c>
    </row>
    <row r="29" spans="1:17">
      <c r="A29" s="3" t="s">
        <v>97</v>
      </c>
      <c r="B29" s="6" t="s">
        <v>10</v>
      </c>
      <c r="C29" s="3" t="s">
        <v>70</v>
      </c>
      <c r="D29" s="3" t="s">
        <v>98</v>
      </c>
      <c r="E29" s="3" t="s">
        <v>21</v>
      </c>
      <c r="F29" s="3" t="s">
        <v>21</v>
      </c>
      <c r="G29" s="3" t="s">
        <v>18</v>
      </c>
      <c r="H29" s="3" t="s">
        <v>18</v>
      </c>
      <c r="I29" s="9">
        <v>6875000</v>
      </c>
      <c r="J29" s="9">
        <v>5250000</v>
      </c>
      <c r="K29" s="9">
        <f t="shared" si="0"/>
        <v>-1625000</v>
      </c>
      <c r="L29" s="9">
        <v>0</v>
      </c>
      <c r="M29" s="9">
        <v>0</v>
      </c>
      <c r="N29" s="9">
        <f t="shared" si="1"/>
        <v>0</v>
      </c>
      <c r="O29" s="10">
        <v>0</v>
      </c>
      <c r="P29" s="10">
        <v>0</v>
      </c>
      <c r="Q29" s="10">
        <f t="shared" si="2"/>
        <v>0</v>
      </c>
    </row>
    <row r="30" spans="1:17">
      <c r="A30" s="3" t="s">
        <v>99</v>
      </c>
      <c r="B30" s="6" t="s">
        <v>13</v>
      </c>
      <c r="C30" s="3" t="s">
        <v>45</v>
      </c>
      <c r="D30" s="3" t="s">
        <v>100</v>
      </c>
      <c r="E30" s="3" t="s">
        <v>21</v>
      </c>
      <c r="F30" s="3" t="s">
        <v>21</v>
      </c>
      <c r="G30" s="3" t="s">
        <v>18</v>
      </c>
      <c r="H30" s="3" t="s">
        <v>18</v>
      </c>
      <c r="I30" s="9">
        <v>4800000</v>
      </c>
      <c r="J30" s="9">
        <v>4800000</v>
      </c>
      <c r="K30" s="9">
        <f t="shared" si="0"/>
        <v>0</v>
      </c>
      <c r="L30" s="9">
        <v>0</v>
      </c>
      <c r="M30" s="9">
        <v>0</v>
      </c>
      <c r="N30" s="9">
        <f t="shared" si="1"/>
        <v>0</v>
      </c>
      <c r="O30" s="10">
        <v>0</v>
      </c>
      <c r="P30" s="10">
        <v>0</v>
      </c>
      <c r="Q30" s="10">
        <f t="shared" si="2"/>
        <v>0</v>
      </c>
    </row>
    <row r="31" spans="1:17">
      <c r="A31" s="3" t="s">
        <v>101</v>
      </c>
      <c r="B31" s="6" t="s">
        <v>10</v>
      </c>
      <c r="C31" s="3" t="s">
        <v>70</v>
      </c>
      <c r="D31" s="3" t="s">
        <v>102</v>
      </c>
      <c r="E31" s="3" t="s">
        <v>21</v>
      </c>
      <c r="F31" s="3" t="s">
        <v>21</v>
      </c>
      <c r="G31" s="3" t="s">
        <v>18</v>
      </c>
      <c r="H31" s="3" t="s">
        <v>18</v>
      </c>
      <c r="I31" s="9">
        <v>44000000</v>
      </c>
      <c r="J31" s="9">
        <v>29600000</v>
      </c>
      <c r="K31" s="9">
        <f t="shared" si="0"/>
        <v>-14400000</v>
      </c>
      <c r="L31" s="9">
        <v>0</v>
      </c>
      <c r="M31" s="9">
        <v>0</v>
      </c>
      <c r="N31" s="9">
        <f t="shared" si="1"/>
        <v>0</v>
      </c>
      <c r="O31" s="10">
        <v>0</v>
      </c>
      <c r="P31" s="10">
        <v>0</v>
      </c>
      <c r="Q31" s="10">
        <f t="shared" si="2"/>
        <v>0</v>
      </c>
    </row>
    <row r="32" spans="1:17">
      <c r="A32" s="3" t="s">
        <v>103</v>
      </c>
      <c r="B32" s="6" t="s">
        <v>10</v>
      </c>
      <c r="C32" s="3" t="s">
        <v>80</v>
      </c>
      <c r="D32" s="3" t="s">
        <v>104</v>
      </c>
      <c r="E32" s="3" t="s">
        <v>21</v>
      </c>
      <c r="F32" s="3" t="s">
        <v>21</v>
      </c>
      <c r="G32" s="3" t="s">
        <v>18</v>
      </c>
      <c r="H32" s="3" t="s">
        <v>18</v>
      </c>
      <c r="I32" s="9">
        <v>46000000</v>
      </c>
      <c r="J32" s="9">
        <v>120000000</v>
      </c>
      <c r="K32" s="9">
        <f t="shared" si="0"/>
        <v>74000000</v>
      </c>
      <c r="L32" s="9">
        <v>0</v>
      </c>
      <c r="M32" s="9">
        <v>0</v>
      </c>
      <c r="N32" s="9">
        <f t="shared" si="1"/>
        <v>0</v>
      </c>
      <c r="O32" s="10">
        <v>0</v>
      </c>
      <c r="P32" s="10">
        <v>0</v>
      </c>
      <c r="Q32" s="10">
        <f t="shared" si="2"/>
        <v>0</v>
      </c>
    </row>
    <row r="33" spans="1:17">
      <c r="A33" s="3" t="s">
        <v>105</v>
      </c>
      <c r="B33" s="6" t="s">
        <v>13</v>
      </c>
      <c r="C33" s="3" t="s">
        <v>45</v>
      </c>
      <c r="D33" s="3" t="s">
        <v>106</v>
      </c>
      <c r="E33" s="3" t="s">
        <v>21</v>
      </c>
      <c r="F33" s="3" t="s">
        <v>21</v>
      </c>
      <c r="G33" s="3" t="s">
        <v>18</v>
      </c>
      <c r="H33" s="3" t="s">
        <v>18</v>
      </c>
      <c r="I33" s="9">
        <v>49600000</v>
      </c>
      <c r="J33" s="9">
        <v>49600000</v>
      </c>
      <c r="K33" s="9">
        <f t="shared" si="0"/>
        <v>0</v>
      </c>
      <c r="L33" s="9">
        <v>0</v>
      </c>
      <c r="M33" s="9">
        <v>0</v>
      </c>
      <c r="N33" s="9">
        <f t="shared" si="1"/>
        <v>0</v>
      </c>
      <c r="O33" s="10">
        <v>0</v>
      </c>
      <c r="P33" s="10">
        <v>0</v>
      </c>
      <c r="Q33" s="10">
        <f t="shared" si="2"/>
        <v>0</v>
      </c>
    </row>
    <row r="34" spans="1:17">
      <c r="A34" s="3" t="s">
        <v>107</v>
      </c>
      <c r="B34" s="6" t="s">
        <v>13</v>
      </c>
      <c r="C34" s="3" t="s">
        <v>45</v>
      </c>
      <c r="D34" s="3" t="s">
        <v>108</v>
      </c>
      <c r="E34" s="3" t="s">
        <v>21</v>
      </c>
      <c r="F34" s="3" t="s">
        <v>21</v>
      </c>
      <c r="G34" s="3" t="s">
        <v>18</v>
      </c>
      <c r="H34" s="3" t="s">
        <v>18</v>
      </c>
      <c r="I34" s="9">
        <v>140000000</v>
      </c>
      <c r="J34" s="9">
        <v>140000000</v>
      </c>
      <c r="K34" s="9">
        <f t="shared" si="0"/>
        <v>0</v>
      </c>
      <c r="L34" s="9">
        <v>0</v>
      </c>
      <c r="M34" s="9">
        <v>0</v>
      </c>
      <c r="N34" s="9">
        <f t="shared" si="1"/>
        <v>0</v>
      </c>
      <c r="O34" s="10">
        <v>0</v>
      </c>
      <c r="P34" s="10">
        <v>0</v>
      </c>
      <c r="Q34" s="10">
        <f t="shared" si="2"/>
        <v>0</v>
      </c>
    </row>
    <row r="35" spans="1:17">
      <c r="A35" s="3" t="s">
        <v>109</v>
      </c>
      <c r="B35" s="6" t="s">
        <v>13</v>
      </c>
      <c r="C35" s="3" t="s">
        <v>45</v>
      </c>
      <c r="D35" s="3" t="s">
        <v>110</v>
      </c>
      <c r="E35" s="3" t="s">
        <v>21</v>
      </c>
      <c r="F35" s="3" t="s">
        <v>21</v>
      </c>
      <c r="G35" s="3" t="s">
        <v>18</v>
      </c>
      <c r="H35" s="3" t="s">
        <v>18</v>
      </c>
      <c r="I35" s="9">
        <v>7750000</v>
      </c>
      <c r="J35" s="9">
        <v>7750000</v>
      </c>
      <c r="K35" s="9">
        <f t="shared" si="0"/>
        <v>0</v>
      </c>
      <c r="L35" s="9">
        <v>0</v>
      </c>
      <c r="M35" s="9">
        <v>0</v>
      </c>
      <c r="N35" s="9">
        <f t="shared" si="1"/>
        <v>0</v>
      </c>
      <c r="O35" s="10">
        <v>0</v>
      </c>
      <c r="P35" s="10">
        <v>0</v>
      </c>
      <c r="Q35" s="10">
        <f t="shared" si="2"/>
        <v>0</v>
      </c>
    </row>
    <row r="36" spans="1:17" ht="27">
      <c r="A36" s="3" t="s">
        <v>111</v>
      </c>
      <c r="B36" s="6" t="s">
        <v>13</v>
      </c>
      <c r="C36" s="3" t="s">
        <v>45</v>
      </c>
      <c r="D36" s="3" t="s">
        <v>112</v>
      </c>
      <c r="E36" s="3" t="s">
        <v>21</v>
      </c>
      <c r="F36" s="3" t="s">
        <v>21</v>
      </c>
      <c r="G36" s="3" t="s">
        <v>18</v>
      </c>
      <c r="H36" s="3" t="s">
        <v>18</v>
      </c>
      <c r="I36" s="9">
        <v>30000000</v>
      </c>
      <c r="J36" s="9">
        <v>30000000</v>
      </c>
      <c r="K36" s="9">
        <f t="shared" si="0"/>
        <v>0</v>
      </c>
      <c r="L36" s="9">
        <v>0</v>
      </c>
      <c r="M36" s="9">
        <v>0</v>
      </c>
      <c r="N36" s="9">
        <f t="shared" si="1"/>
        <v>0</v>
      </c>
      <c r="O36" s="10">
        <v>0</v>
      </c>
      <c r="P36" s="10">
        <v>0</v>
      </c>
      <c r="Q36" s="10">
        <f t="shared" si="2"/>
        <v>0</v>
      </c>
    </row>
    <row r="37" spans="1:17">
      <c r="A37" s="3" t="s">
        <v>113</v>
      </c>
      <c r="B37" s="6" t="s">
        <v>13</v>
      </c>
      <c r="C37" s="3" t="s">
        <v>45</v>
      </c>
      <c r="D37" s="3" t="s">
        <v>114</v>
      </c>
      <c r="E37" s="3" t="s">
        <v>21</v>
      </c>
      <c r="F37" s="3" t="s">
        <v>21</v>
      </c>
      <c r="G37" s="3" t="s">
        <v>18</v>
      </c>
      <c r="H37" s="3" t="s">
        <v>18</v>
      </c>
      <c r="I37" s="9">
        <v>29500000</v>
      </c>
      <c r="J37" s="9">
        <v>29500000</v>
      </c>
      <c r="K37" s="9">
        <f t="shared" ref="K37:K68" si="3">IF(OR(I37="",J37=""),"",J37-I37)</f>
        <v>0</v>
      </c>
      <c r="L37" s="9">
        <v>0</v>
      </c>
      <c r="M37" s="9">
        <v>0</v>
      </c>
      <c r="N37" s="9">
        <f t="shared" ref="N37:N68" si="4">IF(OR(L37="",M37=""),"",M37-L37)</f>
        <v>0</v>
      </c>
      <c r="O37" s="10">
        <v>0</v>
      </c>
      <c r="P37" s="10">
        <v>0</v>
      </c>
      <c r="Q37" s="10">
        <f t="shared" ref="Q37:Q68" si="5">IF(OR(O37="",P37=""),"",P37-O37)</f>
        <v>0</v>
      </c>
    </row>
    <row r="38" spans="1:17">
      <c r="A38" s="3" t="s">
        <v>115</v>
      </c>
      <c r="B38" s="6" t="s">
        <v>13</v>
      </c>
      <c r="C38" s="3" t="s">
        <v>45</v>
      </c>
      <c r="D38" s="3" t="s">
        <v>116</v>
      </c>
      <c r="E38" s="3" t="s">
        <v>21</v>
      </c>
      <c r="F38" s="3" t="s">
        <v>21</v>
      </c>
      <c r="G38" s="3" t="s">
        <v>18</v>
      </c>
      <c r="H38" s="3" t="s">
        <v>18</v>
      </c>
      <c r="I38" s="9">
        <v>4960000</v>
      </c>
      <c r="J38" s="9">
        <v>4960000</v>
      </c>
      <c r="K38" s="9">
        <f t="shared" si="3"/>
        <v>0</v>
      </c>
      <c r="L38" s="9">
        <v>0</v>
      </c>
      <c r="M38" s="9">
        <v>0</v>
      </c>
      <c r="N38" s="9">
        <f t="shared" si="4"/>
        <v>0</v>
      </c>
      <c r="O38" s="10">
        <v>0</v>
      </c>
      <c r="P38" s="10">
        <v>0</v>
      </c>
      <c r="Q38" s="10">
        <f t="shared" si="5"/>
        <v>0</v>
      </c>
    </row>
    <row r="39" spans="1:17">
      <c r="A39" s="3" t="s">
        <v>117</v>
      </c>
      <c r="B39" s="6" t="s">
        <v>13</v>
      </c>
      <c r="C39" s="3" t="s">
        <v>45</v>
      </c>
      <c r="D39" s="3" t="s">
        <v>118</v>
      </c>
      <c r="E39" s="3" t="s">
        <v>21</v>
      </c>
      <c r="F39" s="3" t="s">
        <v>21</v>
      </c>
      <c r="G39" s="3" t="s">
        <v>18</v>
      </c>
      <c r="H39" s="3" t="s">
        <v>18</v>
      </c>
      <c r="I39" s="9">
        <v>40000000</v>
      </c>
      <c r="J39" s="9">
        <v>40000000</v>
      </c>
      <c r="K39" s="9">
        <f t="shared" si="3"/>
        <v>0</v>
      </c>
      <c r="L39" s="9">
        <v>0</v>
      </c>
      <c r="M39" s="9">
        <v>0</v>
      </c>
      <c r="N39" s="9">
        <f t="shared" si="4"/>
        <v>0</v>
      </c>
      <c r="O39" s="10">
        <v>0</v>
      </c>
      <c r="P39" s="10">
        <v>0</v>
      </c>
      <c r="Q39" s="10">
        <f t="shared" si="5"/>
        <v>0</v>
      </c>
    </row>
    <row r="40" spans="1:17">
      <c r="A40" s="3" t="s">
        <v>119</v>
      </c>
      <c r="B40" s="6" t="s">
        <v>13</v>
      </c>
      <c r="C40" s="3" t="s">
        <v>45</v>
      </c>
      <c r="D40" s="3" t="s">
        <v>110</v>
      </c>
      <c r="E40" s="3" t="s">
        <v>21</v>
      </c>
      <c r="F40" s="3" t="s">
        <v>21</v>
      </c>
      <c r="G40" s="3" t="s">
        <v>18</v>
      </c>
      <c r="H40" s="3" t="s">
        <v>18</v>
      </c>
      <c r="I40" s="9">
        <v>1000000</v>
      </c>
      <c r="J40" s="9">
        <v>1000000</v>
      </c>
      <c r="K40" s="9">
        <f t="shared" si="3"/>
        <v>0</v>
      </c>
      <c r="L40" s="9">
        <v>0</v>
      </c>
      <c r="M40" s="9">
        <v>0</v>
      </c>
      <c r="N40" s="9">
        <f t="shared" si="4"/>
        <v>0</v>
      </c>
      <c r="O40" s="10">
        <v>0</v>
      </c>
      <c r="P40" s="10">
        <v>0</v>
      </c>
      <c r="Q40" s="10">
        <f t="shared" si="5"/>
        <v>0</v>
      </c>
    </row>
    <row r="41" spans="1:17" ht="27">
      <c r="A41" s="3" t="s">
        <v>120</v>
      </c>
      <c r="B41" s="6" t="s">
        <v>13</v>
      </c>
      <c r="C41" s="3" t="s">
        <v>45</v>
      </c>
      <c r="D41" s="3" t="s">
        <v>121</v>
      </c>
      <c r="E41" s="3" t="s">
        <v>21</v>
      </c>
      <c r="F41" s="3" t="s">
        <v>21</v>
      </c>
      <c r="G41" s="3" t="s">
        <v>18</v>
      </c>
      <c r="H41" s="3" t="s">
        <v>18</v>
      </c>
      <c r="I41" s="9">
        <v>15796000</v>
      </c>
      <c r="J41" s="9">
        <v>15796000</v>
      </c>
      <c r="K41" s="9">
        <f t="shared" si="3"/>
        <v>0</v>
      </c>
      <c r="L41" s="9">
        <v>0</v>
      </c>
      <c r="M41" s="9">
        <v>0</v>
      </c>
      <c r="N41" s="9">
        <f t="shared" si="4"/>
        <v>0</v>
      </c>
      <c r="O41" s="10">
        <v>0</v>
      </c>
      <c r="P41" s="10">
        <v>0</v>
      </c>
      <c r="Q41" s="10">
        <f t="shared" si="5"/>
        <v>0</v>
      </c>
    </row>
    <row r="42" spans="1:17">
      <c r="A42" s="3" t="s">
        <v>122</v>
      </c>
      <c r="B42" s="6" t="s">
        <v>13</v>
      </c>
      <c r="C42" s="3" t="s">
        <v>45</v>
      </c>
      <c r="D42" s="3" t="s">
        <v>123</v>
      </c>
      <c r="E42" s="3" t="s">
        <v>21</v>
      </c>
      <c r="F42" s="3" t="s">
        <v>21</v>
      </c>
      <c r="G42" s="3" t="s">
        <v>18</v>
      </c>
      <c r="H42" s="3" t="s">
        <v>18</v>
      </c>
      <c r="I42" s="9">
        <v>32244000</v>
      </c>
      <c r="J42" s="9">
        <v>32244000</v>
      </c>
      <c r="K42" s="9">
        <f t="shared" si="3"/>
        <v>0</v>
      </c>
      <c r="L42" s="9">
        <v>0</v>
      </c>
      <c r="M42" s="9">
        <v>0</v>
      </c>
      <c r="N42" s="9">
        <f t="shared" si="4"/>
        <v>0</v>
      </c>
      <c r="O42" s="10">
        <v>0</v>
      </c>
      <c r="P42" s="10">
        <v>0</v>
      </c>
      <c r="Q42" s="10">
        <f t="shared" si="5"/>
        <v>0</v>
      </c>
    </row>
    <row r="43" spans="1:17">
      <c r="A43" s="3" t="s">
        <v>124</v>
      </c>
      <c r="B43" s="6" t="s">
        <v>13</v>
      </c>
      <c r="C43" s="3" t="s">
        <v>45</v>
      </c>
      <c r="D43" s="3" t="s">
        <v>125</v>
      </c>
      <c r="E43" s="3" t="s">
        <v>21</v>
      </c>
      <c r="F43" s="3" t="s">
        <v>21</v>
      </c>
      <c r="G43" s="3" t="s">
        <v>18</v>
      </c>
      <c r="H43" s="3" t="s">
        <v>18</v>
      </c>
      <c r="I43" s="9">
        <v>29500000</v>
      </c>
      <c r="J43" s="9">
        <v>29500000</v>
      </c>
      <c r="K43" s="9">
        <f t="shared" si="3"/>
        <v>0</v>
      </c>
      <c r="L43" s="9">
        <v>0</v>
      </c>
      <c r="M43" s="9">
        <v>0</v>
      </c>
      <c r="N43" s="9">
        <f t="shared" si="4"/>
        <v>0</v>
      </c>
      <c r="O43" s="10">
        <v>0</v>
      </c>
      <c r="P43" s="10">
        <v>0</v>
      </c>
      <c r="Q43" s="10">
        <f t="shared" si="5"/>
        <v>0</v>
      </c>
    </row>
    <row r="44" spans="1:17" ht="27">
      <c r="A44" s="3" t="s">
        <v>126</v>
      </c>
      <c r="B44" s="6" t="s">
        <v>13</v>
      </c>
      <c r="C44" s="3" t="s">
        <v>45</v>
      </c>
      <c r="D44" s="3" t="s">
        <v>127</v>
      </c>
      <c r="E44" s="3" t="s">
        <v>21</v>
      </c>
      <c r="F44" s="3" t="s">
        <v>21</v>
      </c>
      <c r="G44" s="3" t="s">
        <v>18</v>
      </c>
      <c r="H44" s="3" t="s">
        <v>18</v>
      </c>
      <c r="I44" s="9">
        <v>70000000</v>
      </c>
      <c r="J44" s="9">
        <v>70000000</v>
      </c>
      <c r="K44" s="9">
        <f t="shared" si="3"/>
        <v>0</v>
      </c>
      <c r="L44" s="9">
        <v>0</v>
      </c>
      <c r="M44" s="9">
        <v>0</v>
      </c>
      <c r="N44" s="9">
        <f t="shared" si="4"/>
        <v>0</v>
      </c>
      <c r="O44" s="10">
        <v>0</v>
      </c>
      <c r="P44" s="10">
        <v>0</v>
      </c>
      <c r="Q44" s="10">
        <f t="shared" si="5"/>
        <v>0</v>
      </c>
    </row>
    <row r="45" spans="1:17">
      <c r="A45" s="3" t="s">
        <v>128</v>
      </c>
      <c r="B45" s="6" t="s">
        <v>13</v>
      </c>
      <c r="C45" s="3" t="s">
        <v>45</v>
      </c>
      <c r="D45" s="3" t="s">
        <v>106</v>
      </c>
      <c r="E45" s="3" t="s">
        <v>21</v>
      </c>
      <c r="F45" s="3" t="s">
        <v>21</v>
      </c>
      <c r="G45" s="3" t="s">
        <v>18</v>
      </c>
      <c r="H45" s="3" t="s">
        <v>18</v>
      </c>
      <c r="I45" s="9">
        <v>6400000</v>
      </c>
      <c r="J45" s="9">
        <v>6400000</v>
      </c>
      <c r="K45" s="9">
        <f t="shared" si="3"/>
        <v>0</v>
      </c>
      <c r="L45" s="9">
        <v>0</v>
      </c>
      <c r="M45" s="9">
        <v>0</v>
      </c>
      <c r="N45" s="9">
        <f t="shared" si="4"/>
        <v>0</v>
      </c>
      <c r="O45" s="10">
        <v>0</v>
      </c>
      <c r="P45" s="10">
        <v>0</v>
      </c>
      <c r="Q45" s="10">
        <f t="shared" si="5"/>
        <v>0</v>
      </c>
    </row>
    <row r="46" spans="1:17">
      <c r="A46" s="3" t="s">
        <v>129</v>
      </c>
      <c r="B46" s="6" t="s">
        <v>13</v>
      </c>
      <c r="C46" s="3" t="s">
        <v>45</v>
      </c>
      <c r="D46" s="3" t="s">
        <v>130</v>
      </c>
      <c r="E46" s="3" t="s">
        <v>21</v>
      </c>
      <c r="F46" s="3" t="s">
        <v>21</v>
      </c>
      <c r="G46" s="3" t="s">
        <v>18</v>
      </c>
      <c r="H46" s="3" t="s">
        <v>18</v>
      </c>
      <c r="I46" s="9">
        <v>80000000</v>
      </c>
      <c r="J46" s="9">
        <v>80000000</v>
      </c>
      <c r="K46" s="9">
        <f t="shared" si="3"/>
        <v>0</v>
      </c>
      <c r="L46" s="9">
        <v>0</v>
      </c>
      <c r="M46" s="9">
        <v>0</v>
      </c>
      <c r="N46" s="9">
        <f t="shared" si="4"/>
        <v>0</v>
      </c>
      <c r="O46" s="10">
        <v>0</v>
      </c>
      <c r="P46" s="10">
        <v>0</v>
      </c>
      <c r="Q46" s="10">
        <f t="shared" si="5"/>
        <v>0</v>
      </c>
    </row>
    <row r="47" spans="1:17">
      <c r="A47" s="3" t="s">
        <v>131</v>
      </c>
      <c r="B47" s="6" t="s">
        <v>13</v>
      </c>
      <c r="C47" s="3" t="s">
        <v>45</v>
      </c>
      <c r="D47" s="3" t="s">
        <v>110</v>
      </c>
      <c r="E47" s="3" t="s">
        <v>21</v>
      </c>
      <c r="F47" s="3" t="s">
        <v>21</v>
      </c>
      <c r="G47" s="3" t="s">
        <v>18</v>
      </c>
      <c r="H47" s="3" t="s">
        <v>18</v>
      </c>
      <c r="I47" s="9">
        <v>1500000</v>
      </c>
      <c r="J47" s="9">
        <v>1500000</v>
      </c>
      <c r="K47" s="9">
        <f t="shared" si="3"/>
        <v>0</v>
      </c>
      <c r="L47" s="9">
        <v>0</v>
      </c>
      <c r="M47" s="9">
        <v>0</v>
      </c>
      <c r="N47" s="9">
        <f t="shared" si="4"/>
        <v>0</v>
      </c>
      <c r="O47" s="10">
        <v>0</v>
      </c>
      <c r="P47" s="10">
        <v>0</v>
      </c>
      <c r="Q47" s="10">
        <f t="shared" si="5"/>
        <v>0</v>
      </c>
    </row>
    <row r="48" spans="1:17">
      <c r="A48" s="3" t="s">
        <v>132</v>
      </c>
      <c r="B48" s="6" t="s">
        <v>13</v>
      </c>
      <c r="C48" s="3" t="s">
        <v>45</v>
      </c>
      <c r="D48" s="3" t="s">
        <v>133</v>
      </c>
      <c r="E48" s="3" t="s">
        <v>19</v>
      </c>
      <c r="F48" s="3" t="s">
        <v>19</v>
      </c>
      <c r="G48" s="3" t="s">
        <v>22</v>
      </c>
      <c r="H48" s="3" t="s">
        <v>22</v>
      </c>
      <c r="I48" s="9">
        <v>145600000</v>
      </c>
      <c r="J48" s="9">
        <v>145600000</v>
      </c>
      <c r="K48" s="9">
        <f t="shared" si="3"/>
        <v>0</v>
      </c>
      <c r="L48" s="9">
        <v>39177600</v>
      </c>
      <c r="M48" s="9">
        <v>39177600</v>
      </c>
      <c r="N48" s="9">
        <f t="shared" si="4"/>
        <v>0</v>
      </c>
      <c r="O48" s="10">
        <v>27</v>
      </c>
      <c r="P48" s="10">
        <v>27</v>
      </c>
      <c r="Q48" s="10">
        <f t="shared" si="5"/>
        <v>0</v>
      </c>
    </row>
    <row r="49" spans="1:17">
      <c r="A49" s="3" t="s">
        <v>134</v>
      </c>
      <c r="B49" s="6" t="s">
        <v>13</v>
      </c>
      <c r="C49" s="3" t="s">
        <v>45</v>
      </c>
      <c r="D49" s="3" t="s">
        <v>135</v>
      </c>
      <c r="E49" s="3" t="s">
        <v>21</v>
      </c>
      <c r="F49" s="3" t="s">
        <v>21</v>
      </c>
      <c r="G49" s="3" t="s">
        <v>18</v>
      </c>
      <c r="H49" s="3" t="s">
        <v>18</v>
      </c>
      <c r="I49" s="9">
        <v>52500000</v>
      </c>
      <c r="J49" s="9">
        <v>52500000</v>
      </c>
      <c r="K49" s="9">
        <f t="shared" si="3"/>
        <v>0</v>
      </c>
      <c r="L49" s="9">
        <v>0</v>
      </c>
      <c r="M49" s="9">
        <v>0</v>
      </c>
      <c r="N49" s="9">
        <f t="shared" si="4"/>
        <v>0</v>
      </c>
      <c r="O49" s="10">
        <v>0</v>
      </c>
      <c r="P49" s="10">
        <v>0</v>
      </c>
      <c r="Q49" s="10">
        <f t="shared" si="5"/>
        <v>0</v>
      </c>
    </row>
    <row r="50" spans="1:17">
      <c r="A50" s="3" t="s">
        <v>136</v>
      </c>
      <c r="B50" s="6" t="s">
        <v>13</v>
      </c>
      <c r="C50" s="3" t="s">
        <v>45</v>
      </c>
      <c r="D50" s="3" t="s">
        <v>106</v>
      </c>
      <c r="E50" s="3" t="s">
        <v>21</v>
      </c>
      <c r="F50" s="3" t="s">
        <v>21</v>
      </c>
      <c r="G50" s="3" t="s">
        <v>18</v>
      </c>
      <c r="H50" s="3" t="s">
        <v>18</v>
      </c>
      <c r="I50" s="9">
        <v>3200000</v>
      </c>
      <c r="J50" s="9">
        <v>3200000</v>
      </c>
      <c r="K50" s="9">
        <f t="shared" si="3"/>
        <v>0</v>
      </c>
      <c r="L50" s="9">
        <v>0</v>
      </c>
      <c r="M50" s="9">
        <v>0</v>
      </c>
      <c r="N50" s="9">
        <f t="shared" si="4"/>
        <v>0</v>
      </c>
      <c r="O50" s="10">
        <v>0</v>
      </c>
      <c r="P50" s="10">
        <v>0</v>
      </c>
      <c r="Q50" s="10">
        <f t="shared" si="5"/>
        <v>0</v>
      </c>
    </row>
    <row r="51" spans="1:17">
      <c r="A51" s="3" t="s">
        <v>137</v>
      </c>
      <c r="B51" s="6" t="s">
        <v>13</v>
      </c>
      <c r="C51" s="3" t="s">
        <v>45</v>
      </c>
      <c r="D51" s="3" t="s">
        <v>138</v>
      </c>
      <c r="E51" s="3" t="s">
        <v>19</v>
      </c>
      <c r="F51" s="3" t="s">
        <v>19</v>
      </c>
      <c r="G51" s="3" t="s">
        <v>18</v>
      </c>
      <c r="H51" s="3" t="s">
        <v>18</v>
      </c>
      <c r="I51" s="9">
        <v>38400000</v>
      </c>
      <c r="J51" s="9">
        <v>38400000</v>
      </c>
      <c r="K51" s="9">
        <f t="shared" si="3"/>
        <v>0</v>
      </c>
      <c r="L51" s="9">
        <v>0</v>
      </c>
      <c r="M51" s="9">
        <v>0</v>
      </c>
      <c r="N51" s="9">
        <f t="shared" si="4"/>
        <v>0</v>
      </c>
      <c r="O51" s="10">
        <v>0</v>
      </c>
      <c r="P51" s="10">
        <v>0</v>
      </c>
      <c r="Q51" s="10">
        <f t="shared" si="5"/>
        <v>0</v>
      </c>
    </row>
    <row r="52" spans="1:17">
      <c r="A52" s="3" t="s">
        <v>139</v>
      </c>
      <c r="B52" s="6" t="s">
        <v>10</v>
      </c>
      <c r="C52" s="3" t="s">
        <v>80</v>
      </c>
      <c r="D52" s="3" t="s">
        <v>140</v>
      </c>
      <c r="E52" s="3" t="s">
        <v>21</v>
      </c>
      <c r="F52" s="3" t="s">
        <v>21</v>
      </c>
      <c r="G52" s="3" t="s">
        <v>18</v>
      </c>
      <c r="H52" s="3" t="s">
        <v>18</v>
      </c>
      <c r="I52" s="9">
        <v>7600000</v>
      </c>
      <c r="J52" s="9">
        <v>24500000</v>
      </c>
      <c r="K52" s="9">
        <f t="shared" si="3"/>
        <v>16900000</v>
      </c>
      <c r="L52" s="9">
        <v>0</v>
      </c>
      <c r="M52" s="9">
        <v>0</v>
      </c>
      <c r="N52" s="9">
        <f t="shared" si="4"/>
        <v>0</v>
      </c>
      <c r="O52" s="10">
        <v>0</v>
      </c>
      <c r="P52" s="10">
        <v>0</v>
      </c>
      <c r="Q52" s="10">
        <f t="shared" si="5"/>
        <v>0</v>
      </c>
    </row>
    <row r="53" spans="1:17">
      <c r="A53" s="3" t="s">
        <v>141</v>
      </c>
      <c r="B53" s="6" t="s">
        <v>13</v>
      </c>
      <c r="C53" s="3" t="s">
        <v>45</v>
      </c>
      <c r="D53" s="3" t="s">
        <v>100</v>
      </c>
      <c r="E53" s="3" t="s">
        <v>21</v>
      </c>
      <c r="F53" s="3" t="s">
        <v>21</v>
      </c>
      <c r="G53" s="3" t="s">
        <v>18</v>
      </c>
      <c r="H53" s="3" t="s">
        <v>18</v>
      </c>
      <c r="I53" s="9">
        <v>960000</v>
      </c>
      <c r="J53" s="9">
        <v>960000</v>
      </c>
      <c r="K53" s="9">
        <f t="shared" si="3"/>
        <v>0</v>
      </c>
      <c r="L53" s="9">
        <v>0</v>
      </c>
      <c r="M53" s="9">
        <v>0</v>
      </c>
      <c r="N53" s="9">
        <f t="shared" si="4"/>
        <v>0</v>
      </c>
      <c r="O53" s="10">
        <v>0</v>
      </c>
      <c r="P53" s="10">
        <v>0</v>
      </c>
      <c r="Q53" s="10">
        <f t="shared" si="5"/>
        <v>0</v>
      </c>
    </row>
    <row r="54" spans="1:17">
      <c r="A54" s="3" t="s">
        <v>142</v>
      </c>
      <c r="B54" s="6" t="s">
        <v>13</v>
      </c>
      <c r="C54" s="3" t="s">
        <v>45</v>
      </c>
      <c r="D54" s="3" t="s">
        <v>106</v>
      </c>
      <c r="E54" s="3" t="s">
        <v>21</v>
      </c>
      <c r="F54" s="3" t="s">
        <v>21</v>
      </c>
      <c r="G54" s="3" t="s">
        <v>18</v>
      </c>
      <c r="H54" s="3" t="s">
        <v>18</v>
      </c>
      <c r="I54" s="9">
        <v>9600000</v>
      </c>
      <c r="J54" s="9">
        <v>9600000</v>
      </c>
      <c r="K54" s="9">
        <f t="shared" si="3"/>
        <v>0</v>
      </c>
      <c r="L54" s="9">
        <v>0</v>
      </c>
      <c r="M54" s="9">
        <v>0</v>
      </c>
      <c r="N54" s="9">
        <f t="shared" si="4"/>
        <v>0</v>
      </c>
      <c r="O54" s="10">
        <v>0</v>
      </c>
      <c r="P54" s="10">
        <v>0</v>
      </c>
      <c r="Q54" s="10">
        <f t="shared" si="5"/>
        <v>0</v>
      </c>
    </row>
    <row r="55" spans="1:17">
      <c r="A55" s="3" t="s">
        <v>143</v>
      </c>
      <c r="B55" s="6" t="s">
        <v>13</v>
      </c>
      <c r="C55" s="3" t="s">
        <v>45</v>
      </c>
      <c r="D55" s="3" t="s">
        <v>114</v>
      </c>
      <c r="E55" s="3" t="s">
        <v>21</v>
      </c>
      <c r="F55" s="3" t="s">
        <v>21</v>
      </c>
      <c r="G55" s="3" t="s">
        <v>18</v>
      </c>
      <c r="H55" s="3" t="s">
        <v>18</v>
      </c>
      <c r="I55" s="9">
        <v>26242000</v>
      </c>
      <c r="J55" s="9">
        <v>26242000</v>
      </c>
      <c r="K55" s="9">
        <f t="shared" si="3"/>
        <v>0</v>
      </c>
      <c r="L55" s="9">
        <v>0</v>
      </c>
      <c r="M55" s="9">
        <v>0</v>
      </c>
      <c r="N55" s="9">
        <f t="shared" si="4"/>
        <v>0</v>
      </c>
      <c r="O55" s="10">
        <v>0</v>
      </c>
      <c r="P55" s="10">
        <v>0</v>
      </c>
      <c r="Q55" s="10">
        <f t="shared" si="5"/>
        <v>0</v>
      </c>
    </row>
    <row r="56" spans="1:17">
      <c r="A56" s="3" t="s">
        <v>144</v>
      </c>
      <c r="B56" s="6" t="s">
        <v>13</v>
      </c>
      <c r="C56" s="3" t="s">
        <v>45</v>
      </c>
      <c r="D56" s="3" t="s">
        <v>106</v>
      </c>
      <c r="E56" s="3" t="s">
        <v>21</v>
      </c>
      <c r="F56" s="3" t="s">
        <v>21</v>
      </c>
      <c r="G56" s="3" t="s">
        <v>18</v>
      </c>
      <c r="H56" s="3" t="s">
        <v>18</v>
      </c>
      <c r="I56" s="9">
        <v>17600000</v>
      </c>
      <c r="J56" s="9">
        <v>17600000</v>
      </c>
      <c r="K56" s="9">
        <f t="shared" si="3"/>
        <v>0</v>
      </c>
      <c r="L56" s="9">
        <v>0</v>
      </c>
      <c r="M56" s="9">
        <v>0</v>
      </c>
      <c r="N56" s="9">
        <f t="shared" si="4"/>
        <v>0</v>
      </c>
      <c r="O56" s="10">
        <v>0</v>
      </c>
      <c r="P56" s="10">
        <v>0</v>
      </c>
      <c r="Q56" s="10">
        <f t="shared" si="5"/>
        <v>0</v>
      </c>
    </row>
    <row r="57" spans="1:17" ht="27">
      <c r="A57" s="3" t="s">
        <v>145</v>
      </c>
      <c r="B57" s="6" t="s">
        <v>13</v>
      </c>
      <c r="C57" s="3" t="s">
        <v>45</v>
      </c>
      <c r="D57" s="3" t="s">
        <v>146</v>
      </c>
      <c r="E57" s="3" t="s">
        <v>21</v>
      </c>
      <c r="F57" s="3" t="s">
        <v>21</v>
      </c>
      <c r="G57" s="3" t="s">
        <v>18</v>
      </c>
      <c r="H57" s="3" t="s">
        <v>18</v>
      </c>
      <c r="I57" s="9">
        <v>33000000</v>
      </c>
      <c r="J57" s="9">
        <v>33000000</v>
      </c>
      <c r="K57" s="9">
        <f t="shared" si="3"/>
        <v>0</v>
      </c>
      <c r="L57" s="9">
        <v>0</v>
      </c>
      <c r="M57" s="9">
        <v>0</v>
      </c>
      <c r="N57" s="9">
        <f t="shared" si="4"/>
        <v>0</v>
      </c>
      <c r="O57" s="10">
        <v>0</v>
      </c>
      <c r="P57" s="10">
        <v>0</v>
      </c>
      <c r="Q57" s="10">
        <f t="shared" si="5"/>
        <v>0</v>
      </c>
    </row>
    <row r="58" spans="1:17">
      <c r="A58" s="3" t="s">
        <v>147</v>
      </c>
      <c r="B58" s="6" t="s">
        <v>13</v>
      </c>
      <c r="C58" s="3" t="s">
        <v>45</v>
      </c>
      <c r="D58" s="3" t="s">
        <v>148</v>
      </c>
      <c r="E58" s="3" t="s">
        <v>21</v>
      </c>
      <c r="F58" s="3" t="s">
        <v>21</v>
      </c>
      <c r="G58" s="3" t="s">
        <v>18</v>
      </c>
      <c r="H58" s="3" t="s">
        <v>18</v>
      </c>
      <c r="I58" s="9">
        <v>15500000</v>
      </c>
      <c r="J58" s="9">
        <v>15500000</v>
      </c>
      <c r="K58" s="9">
        <f t="shared" si="3"/>
        <v>0</v>
      </c>
      <c r="L58" s="9">
        <v>0</v>
      </c>
      <c r="M58" s="9">
        <v>0</v>
      </c>
      <c r="N58" s="9">
        <f t="shared" si="4"/>
        <v>0</v>
      </c>
      <c r="O58" s="10">
        <v>0</v>
      </c>
      <c r="P58" s="10">
        <v>0</v>
      </c>
      <c r="Q58" s="10">
        <f t="shared" si="5"/>
        <v>0</v>
      </c>
    </row>
    <row r="59" spans="1:17" ht="27">
      <c r="A59" s="3" t="s">
        <v>149</v>
      </c>
      <c r="B59" s="6" t="s">
        <v>13</v>
      </c>
      <c r="C59" s="3" t="s">
        <v>45</v>
      </c>
      <c r="D59" s="3" t="s">
        <v>150</v>
      </c>
      <c r="E59" s="3" t="s">
        <v>21</v>
      </c>
      <c r="F59" s="3" t="s">
        <v>21</v>
      </c>
      <c r="G59" s="3" t="s">
        <v>18</v>
      </c>
      <c r="H59" s="3" t="s">
        <v>18</v>
      </c>
      <c r="I59" s="9">
        <v>27000000</v>
      </c>
      <c r="J59" s="9">
        <v>27000000</v>
      </c>
      <c r="K59" s="9">
        <f t="shared" si="3"/>
        <v>0</v>
      </c>
      <c r="L59" s="9">
        <v>0</v>
      </c>
      <c r="M59" s="9">
        <v>0</v>
      </c>
      <c r="N59" s="9">
        <f t="shared" si="4"/>
        <v>0</v>
      </c>
      <c r="O59" s="10">
        <v>0</v>
      </c>
      <c r="P59" s="10">
        <v>0</v>
      </c>
      <c r="Q59" s="10">
        <f t="shared" si="5"/>
        <v>0</v>
      </c>
    </row>
    <row r="60" spans="1:17">
      <c r="A60" s="3" t="s">
        <v>151</v>
      </c>
      <c r="B60" s="6" t="s">
        <v>13</v>
      </c>
      <c r="C60" s="3" t="s">
        <v>45</v>
      </c>
      <c r="D60" s="3" t="s">
        <v>152</v>
      </c>
      <c r="E60" s="3" t="s">
        <v>21</v>
      </c>
      <c r="F60" s="3" t="s">
        <v>21</v>
      </c>
      <c r="G60" s="3" t="s">
        <v>18</v>
      </c>
      <c r="H60" s="3" t="s">
        <v>18</v>
      </c>
      <c r="I60" s="9">
        <v>15500000</v>
      </c>
      <c r="J60" s="9">
        <v>15500000</v>
      </c>
      <c r="K60" s="9">
        <f t="shared" si="3"/>
        <v>0</v>
      </c>
      <c r="L60" s="9">
        <v>0</v>
      </c>
      <c r="M60" s="9">
        <v>0</v>
      </c>
      <c r="N60" s="9">
        <f t="shared" si="4"/>
        <v>0</v>
      </c>
      <c r="O60" s="10">
        <v>0</v>
      </c>
      <c r="P60" s="10">
        <v>0</v>
      </c>
      <c r="Q60" s="10">
        <f t="shared" si="5"/>
        <v>0</v>
      </c>
    </row>
    <row r="61" spans="1:17">
      <c r="A61" s="3" t="s">
        <v>153</v>
      </c>
      <c r="B61" s="6" t="s">
        <v>13</v>
      </c>
      <c r="C61" s="3" t="s">
        <v>45</v>
      </c>
      <c r="D61" s="3" t="s">
        <v>100</v>
      </c>
      <c r="E61" s="3" t="s">
        <v>21</v>
      </c>
      <c r="F61" s="3" t="s">
        <v>21</v>
      </c>
      <c r="G61" s="3" t="s">
        <v>18</v>
      </c>
      <c r="H61" s="3" t="s">
        <v>18</v>
      </c>
      <c r="I61" s="9">
        <v>1760000</v>
      </c>
      <c r="J61" s="9">
        <v>1760000</v>
      </c>
      <c r="K61" s="9">
        <f t="shared" si="3"/>
        <v>0</v>
      </c>
      <c r="L61" s="9">
        <v>0</v>
      </c>
      <c r="M61" s="9">
        <v>0</v>
      </c>
      <c r="N61" s="9">
        <f t="shared" si="4"/>
        <v>0</v>
      </c>
      <c r="O61" s="10">
        <v>0</v>
      </c>
      <c r="P61" s="10">
        <v>0</v>
      </c>
      <c r="Q61" s="10">
        <f t="shared" si="5"/>
        <v>0</v>
      </c>
    </row>
    <row r="62" spans="1:17" ht="27">
      <c r="A62" s="3" t="s">
        <v>154</v>
      </c>
      <c r="B62" s="6" t="s">
        <v>13</v>
      </c>
      <c r="C62" s="3" t="s">
        <v>45</v>
      </c>
      <c r="D62" s="3" t="s">
        <v>155</v>
      </c>
      <c r="E62" s="3" t="s">
        <v>21</v>
      </c>
      <c r="F62" s="3" t="s">
        <v>21</v>
      </c>
      <c r="G62" s="3" t="s">
        <v>18</v>
      </c>
      <c r="H62" s="3" t="s">
        <v>18</v>
      </c>
      <c r="I62" s="9">
        <v>17500000</v>
      </c>
      <c r="J62" s="9">
        <v>17500000</v>
      </c>
      <c r="K62" s="9">
        <f t="shared" si="3"/>
        <v>0</v>
      </c>
      <c r="L62" s="9">
        <v>0</v>
      </c>
      <c r="M62" s="9">
        <v>0</v>
      </c>
      <c r="N62" s="9">
        <f t="shared" si="4"/>
        <v>0</v>
      </c>
      <c r="O62" s="10">
        <v>0</v>
      </c>
      <c r="P62" s="10">
        <v>0</v>
      </c>
      <c r="Q62" s="10">
        <f t="shared" si="5"/>
        <v>0</v>
      </c>
    </row>
    <row r="63" spans="1:17" ht="27">
      <c r="A63" s="3" t="s">
        <v>156</v>
      </c>
      <c r="B63" s="6" t="s">
        <v>13</v>
      </c>
      <c r="C63" s="3" t="s">
        <v>45</v>
      </c>
      <c r="D63" s="3" t="s">
        <v>157</v>
      </c>
      <c r="E63" s="3" t="s">
        <v>21</v>
      </c>
      <c r="F63" s="3" t="s">
        <v>21</v>
      </c>
      <c r="G63" s="3" t="s">
        <v>18</v>
      </c>
      <c r="H63" s="3" t="s">
        <v>18</v>
      </c>
      <c r="I63" s="9">
        <v>17500000</v>
      </c>
      <c r="J63" s="9">
        <v>17500000</v>
      </c>
      <c r="K63" s="9">
        <f t="shared" si="3"/>
        <v>0</v>
      </c>
      <c r="L63" s="9">
        <v>0</v>
      </c>
      <c r="M63" s="9">
        <v>0</v>
      </c>
      <c r="N63" s="9">
        <f t="shared" si="4"/>
        <v>0</v>
      </c>
      <c r="O63" s="10">
        <v>0</v>
      </c>
      <c r="P63" s="10">
        <v>0</v>
      </c>
      <c r="Q63" s="10">
        <f t="shared" si="5"/>
        <v>0</v>
      </c>
    </row>
    <row r="64" spans="1:17" ht="27">
      <c r="A64" s="3" t="s">
        <v>158</v>
      </c>
      <c r="B64" s="6" t="s">
        <v>13</v>
      </c>
      <c r="C64" s="3" t="s">
        <v>45</v>
      </c>
      <c r="D64" s="3" t="s">
        <v>159</v>
      </c>
      <c r="E64" s="3" t="s">
        <v>21</v>
      </c>
      <c r="F64" s="3" t="s">
        <v>21</v>
      </c>
      <c r="G64" s="3" t="s">
        <v>18</v>
      </c>
      <c r="H64" s="3" t="s">
        <v>18</v>
      </c>
      <c r="I64" s="9">
        <v>25000000</v>
      </c>
      <c r="J64" s="9">
        <v>25000000</v>
      </c>
      <c r="K64" s="9">
        <f t="shared" si="3"/>
        <v>0</v>
      </c>
      <c r="L64" s="9">
        <v>0</v>
      </c>
      <c r="M64" s="9">
        <v>0</v>
      </c>
      <c r="N64" s="9">
        <f t="shared" si="4"/>
        <v>0</v>
      </c>
      <c r="O64" s="10">
        <v>0</v>
      </c>
      <c r="P64" s="10">
        <v>0</v>
      </c>
      <c r="Q64" s="10">
        <f t="shared" si="5"/>
        <v>0</v>
      </c>
    </row>
    <row r="65" spans="1:17" ht="27">
      <c r="A65" s="3" t="s">
        <v>160</v>
      </c>
      <c r="B65" s="6" t="s">
        <v>10</v>
      </c>
      <c r="C65" s="3" t="s">
        <v>161</v>
      </c>
      <c r="D65" s="3" t="s">
        <v>162</v>
      </c>
      <c r="E65" s="3" t="s">
        <v>21</v>
      </c>
      <c r="F65" s="3" t="s">
        <v>19</v>
      </c>
      <c r="G65" s="3" t="s">
        <v>18</v>
      </c>
      <c r="H65" s="3" t="s">
        <v>18</v>
      </c>
      <c r="I65" s="9">
        <v>50400000</v>
      </c>
      <c r="J65" s="9">
        <v>57600000</v>
      </c>
      <c r="K65" s="9">
        <f t="shared" si="3"/>
        <v>7200000</v>
      </c>
      <c r="L65" s="9">
        <v>0</v>
      </c>
      <c r="M65" s="9">
        <v>0</v>
      </c>
      <c r="N65" s="9">
        <f t="shared" si="4"/>
        <v>0</v>
      </c>
      <c r="O65" s="10">
        <v>0</v>
      </c>
      <c r="P65" s="10">
        <v>0</v>
      </c>
      <c r="Q65" s="10">
        <f t="shared" si="5"/>
        <v>0</v>
      </c>
    </row>
    <row r="66" spans="1:17" ht="27">
      <c r="A66" s="3" t="s">
        <v>163</v>
      </c>
      <c r="B66" s="6" t="s">
        <v>10</v>
      </c>
      <c r="C66" s="3" t="s">
        <v>70</v>
      </c>
      <c r="D66" s="3" t="s">
        <v>164</v>
      </c>
      <c r="E66" s="3" t="s">
        <v>21</v>
      </c>
      <c r="F66" s="3" t="s">
        <v>21</v>
      </c>
      <c r="G66" s="3" t="s">
        <v>18</v>
      </c>
      <c r="H66" s="3" t="s">
        <v>18</v>
      </c>
      <c r="I66" s="9">
        <v>122010000</v>
      </c>
      <c r="J66" s="9">
        <v>90244000</v>
      </c>
      <c r="K66" s="9">
        <f t="shared" si="3"/>
        <v>-31766000</v>
      </c>
      <c r="L66" s="9">
        <v>0</v>
      </c>
      <c r="M66" s="9">
        <v>0</v>
      </c>
      <c r="N66" s="9">
        <f t="shared" si="4"/>
        <v>0</v>
      </c>
      <c r="O66" s="10">
        <v>0</v>
      </c>
      <c r="P66" s="10">
        <v>0</v>
      </c>
      <c r="Q66" s="10">
        <f t="shared" si="5"/>
        <v>0</v>
      </c>
    </row>
    <row r="67" spans="1:17" ht="27">
      <c r="A67" s="3" t="s">
        <v>165</v>
      </c>
      <c r="B67" s="6" t="s">
        <v>10</v>
      </c>
      <c r="C67" s="3" t="s">
        <v>70</v>
      </c>
      <c r="D67" s="3" t="s">
        <v>166</v>
      </c>
      <c r="E67" s="3" t="s">
        <v>19</v>
      </c>
      <c r="F67" s="3" t="s">
        <v>19</v>
      </c>
      <c r="G67" s="3" t="s">
        <v>18</v>
      </c>
      <c r="H67" s="3" t="s">
        <v>18</v>
      </c>
      <c r="I67" s="9">
        <v>67200000</v>
      </c>
      <c r="J67" s="9">
        <v>44800000</v>
      </c>
      <c r="K67" s="9">
        <f t="shared" si="3"/>
        <v>-22400000</v>
      </c>
      <c r="L67" s="9">
        <v>0</v>
      </c>
      <c r="M67" s="9">
        <v>0</v>
      </c>
      <c r="N67" s="9">
        <f t="shared" si="4"/>
        <v>0</v>
      </c>
      <c r="O67" s="10">
        <v>0</v>
      </c>
      <c r="P67" s="10">
        <v>0</v>
      </c>
      <c r="Q67" s="10">
        <f t="shared" si="5"/>
        <v>0</v>
      </c>
    </row>
    <row r="68" spans="1:17" ht="27">
      <c r="A68" s="3" t="s">
        <v>167</v>
      </c>
      <c r="B68" s="6" t="s">
        <v>10</v>
      </c>
      <c r="C68" s="3" t="s">
        <v>161</v>
      </c>
      <c r="D68" s="3" t="s">
        <v>168</v>
      </c>
      <c r="E68" s="3" t="s">
        <v>21</v>
      </c>
      <c r="F68" s="3" t="s">
        <v>19</v>
      </c>
      <c r="G68" s="3" t="s">
        <v>18</v>
      </c>
      <c r="H68" s="3" t="s">
        <v>18</v>
      </c>
      <c r="I68" s="9">
        <v>117600000</v>
      </c>
      <c r="J68" s="9">
        <v>156800000</v>
      </c>
      <c r="K68" s="9">
        <f t="shared" si="3"/>
        <v>39200000</v>
      </c>
      <c r="L68" s="9">
        <v>0</v>
      </c>
      <c r="M68" s="9">
        <v>0</v>
      </c>
      <c r="N68" s="9">
        <f t="shared" si="4"/>
        <v>0</v>
      </c>
      <c r="O68" s="10">
        <v>0</v>
      </c>
      <c r="P68" s="10">
        <v>0</v>
      </c>
      <c r="Q68" s="10">
        <f t="shared" si="5"/>
        <v>0</v>
      </c>
    </row>
    <row r="69" spans="1:17" ht="27">
      <c r="A69" s="3" t="s">
        <v>169</v>
      </c>
      <c r="B69" s="6" t="s">
        <v>10</v>
      </c>
      <c r="C69" s="3" t="s">
        <v>70</v>
      </c>
      <c r="D69" s="3" t="s">
        <v>170</v>
      </c>
      <c r="E69" s="3" t="s">
        <v>21</v>
      </c>
      <c r="F69" s="3" t="s">
        <v>21</v>
      </c>
      <c r="G69" s="3" t="s">
        <v>18</v>
      </c>
      <c r="H69" s="3" t="s">
        <v>18</v>
      </c>
      <c r="I69" s="9">
        <v>33600000</v>
      </c>
      <c r="J69" s="9">
        <v>44800000</v>
      </c>
      <c r="K69" s="9">
        <f t="shared" ref="K69:K100" si="6">IF(OR(I69="",J69=""),"",J69-I69)</f>
        <v>11200000</v>
      </c>
      <c r="L69" s="9">
        <v>0</v>
      </c>
      <c r="M69" s="9">
        <v>0</v>
      </c>
      <c r="N69" s="9">
        <f t="shared" ref="N69:N100" si="7">IF(OR(L69="",M69=""),"",M69-L69)</f>
        <v>0</v>
      </c>
      <c r="O69" s="10">
        <v>0</v>
      </c>
      <c r="P69" s="10">
        <v>0</v>
      </c>
      <c r="Q69" s="10">
        <f t="shared" ref="Q69:Q100" si="8">IF(OR(O69="",P69=""),"",P69-O69)</f>
        <v>0</v>
      </c>
    </row>
    <row r="70" spans="1:17" ht="27">
      <c r="A70" s="3" t="s">
        <v>171</v>
      </c>
      <c r="B70" s="6" t="s">
        <v>10</v>
      </c>
      <c r="C70" s="3" t="s">
        <v>70</v>
      </c>
      <c r="D70" s="3" t="s">
        <v>172</v>
      </c>
      <c r="E70" s="3" t="s">
        <v>21</v>
      </c>
      <c r="F70" s="3" t="s">
        <v>21</v>
      </c>
      <c r="G70" s="3" t="s">
        <v>18</v>
      </c>
      <c r="H70" s="3" t="s">
        <v>18</v>
      </c>
      <c r="I70" s="9">
        <v>3360000</v>
      </c>
      <c r="J70" s="9">
        <v>4480000</v>
      </c>
      <c r="K70" s="9">
        <f t="shared" si="6"/>
        <v>1120000</v>
      </c>
      <c r="L70" s="9">
        <v>0</v>
      </c>
      <c r="M70" s="9">
        <v>0</v>
      </c>
      <c r="N70" s="9">
        <f t="shared" si="7"/>
        <v>0</v>
      </c>
      <c r="O70" s="10">
        <v>0</v>
      </c>
      <c r="P70" s="10">
        <v>0</v>
      </c>
      <c r="Q70" s="10">
        <f t="shared" si="8"/>
        <v>0</v>
      </c>
    </row>
    <row r="71" spans="1:17" ht="27">
      <c r="A71" s="3" t="s">
        <v>173</v>
      </c>
      <c r="B71" s="6" t="s">
        <v>10</v>
      </c>
      <c r="C71" s="3" t="s">
        <v>70</v>
      </c>
      <c r="D71" s="3" t="s">
        <v>174</v>
      </c>
      <c r="E71" s="3" t="s">
        <v>21</v>
      </c>
      <c r="F71" s="3" t="s">
        <v>21</v>
      </c>
      <c r="G71" s="3" t="s">
        <v>18</v>
      </c>
      <c r="H71" s="3" t="s">
        <v>18</v>
      </c>
      <c r="I71" s="9">
        <v>2625000</v>
      </c>
      <c r="J71" s="9">
        <v>4375000</v>
      </c>
      <c r="K71" s="9">
        <f t="shared" si="6"/>
        <v>1750000</v>
      </c>
      <c r="L71" s="9">
        <v>0</v>
      </c>
      <c r="M71" s="9">
        <v>0</v>
      </c>
      <c r="N71" s="9">
        <f t="shared" si="7"/>
        <v>0</v>
      </c>
      <c r="O71" s="10">
        <v>0</v>
      </c>
      <c r="P71" s="10">
        <v>0</v>
      </c>
      <c r="Q71" s="10">
        <f t="shared" si="8"/>
        <v>0</v>
      </c>
    </row>
    <row r="72" spans="1:17" ht="27">
      <c r="A72" s="3" t="s">
        <v>175</v>
      </c>
      <c r="B72" s="6" t="s">
        <v>13</v>
      </c>
      <c r="C72" s="3" t="s">
        <v>45</v>
      </c>
      <c r="D72" s="3" t="s">
        <v>176</v>
      </c>
      <c r="E72" s="3" t="s">
        <v>21</v>
      </c>
      <c r="F72" s="3" t="s">
        <v>21</v>
      </c>
      <c r="G72" s="3" t="s">
        <v>18</v>
      </c>
      <c r="H72" s="3" t="s">
        <v>18</v>
      </c>
      <c r="I72" s="9">
        <v>33480000</v>
      </c>
      <c r="J72" s="9">
        <v>33480000</v>
      </c>
      <c r="K72" s="9">
        <f t="shared" si="6"/>
        <v>0</v>
      </c>
      <c r="L72" s="9">
        <v>0</v>
      </c>
      <c r="M72" s="9">
        <v>0</v>
      </c>
      <c r="N72" s="9">
        <f t="shared" si="7"/>
        <v>0</v>
      </c>
      <c r="O72" s="10">
        <v>0</v>
      </c>
      <c r="P72" s="10">
        <v>0</v>
      </c>
      <c r="Q72" s="10">
        <f t="shared" si="8"/>
        <v>0</v>
      </c>
    </row>
    <row r="73" spans="1:17" ht="27">
      <c r="A73" s="3" t="s">
        <v>177</v>
      </c>
      <c r="B73" s="6" t="s">
        <v>10</v>
      </c>
      <c r="C73" s="3" t="s">
        <v>70</v>
      </c>
      <c r="D73" s="3" t="s">
        <v>178</v>
      </c>
      <c r="E73" s="3" t="s">
        <v>21</v>
      </c>
      <c r="F73" s="3" t="s">
        <v>21</v>
      </c>
      <c r="G73" s="3" t="s">
        <v>18</v>
      </c>
      <c r="H73" s="3" t="s">
        <v>18</v>
      </c>
      <c r="I73" s="9">
        <v>426870000</v>
      </c>
      <c r="J73" s="9">
        <v>388700000</v>
      </c>
      <c r="K73" s="9">
        <f t="shared" si="6"/>
        <v>-38170000</v>
      </c>
      <c r="L73" s="9">
        <v>0</v>
      </c>
      <c r="M73" s="9">
        <v>0</v>
      </c>
      <c r="N73" s="9">
        <f t="shared" si="7"/>
        <v>0</v>
      </c>
      <c r="O73" s="10">
        <v>0</v>
      </c>
      <c r="P73" s="10">
        <v>0</v>
      </c>
      <c r="Q73" s="10">
        <f t="shared" si="8"/>
        <v>0</v>
      </c>
    </row>
    <row r="74" spans="1:17" ht="27">
      <c r="A74" s="3" t="s">
        <v>179</v>
      </c>
      <c r="B74" s="6" t="s">
        <v>10</v>
      </c>
      <c r="C74" s="3" t="s">
        <v>70</v>
      </c>
      <c r="D74" s="3" t="s">
        <v>180</v>
      </c>
      <c r="E74" s="3" t="s">
        <v>21</v>
      </c>
      <c r="F74" s="3" t="s">
        <v>21</v>
      </c>
      <c r="G74" s="3" t="s">
        <v>18</v>
      </c>
      <c r="H74" s="3" t="s">
        <v>18</v>
      </c>
      <c r="I74" s="9">
        <v>58320000</v>
      </c>
      <c r="J74" s="9">
        <v>7420000</v>
      </c>
      <c r="K74" s="9">
        <f t="shared" si="6"/>
        <v>-50900000</v>
      </c>
      <c r="L74" s="9">
        <v>0</v>
      </c>
      <c r="M74" s="9">
        <v>0</v>
      </c>
      <c r="N74" s="9">
        <f t="shared" si="7"/>
        <v>0</v>
      </c>
      <c r="O74" s="10">
        <v>0</v>
      </c>
      <c r="P74" s="10">
        <v>0</v>
      </c>
      <c r="Q74" s="10">
        <f t="shared" si="8"/>
        <v>0</v>
      </c>
    </row>
    <row r="75" spans="1:17" ht="27">
      <c r="A75" s="3" t="s">
        <v>181</v>
      </c>
      <c r="B75" s="6" t="s">
        <v>10</v>
      </c>
      <c r="C75" s="3" t="s">
        <v>70</v>
      </c>
      <c r="D75" s="3" t="s">
        <v>182</v>
      </c>
      <c r="E75" s="3" t="s">
        <v>21</v>
      </c>
      <c r="F75" s="3" t="s">
        <v>21</v>
      </c>
      <c r="G75" s="3" t="s">
        <v>18</v>
      </c>
      <c r="H75" s="3" t="s">
        <v>18</v>
      </c>
      <c r="I75" s="9">
        <v>22960000</v>
      </c>
      <c r="J75" s="9">
        <v>15700000</v>
      </c>
      <c r="K75" s="9">
        <f t="shared" si="6"/>
        <v>-7260000</v>
      </c>
      <c r="L75" s="9">
        <v>0</v>
      </c>
      <c r="M75" s="9">
        <v>0</v>
      </c>
      <c r="N75" s="9">
        <f t="shared" si="7"/>
        <v>0</v>
      </c>
      <c r="O75" s="10">
        <v>0</v>
      </c>
      <c r="P75" s="10">
        <v>0</v>
      </c>
      <c r="Q75" s="10">
        <f t="shared" si="8"/>
        <v>0</v>
      </c>
    </row>
    <row r="76" spans="1:17" ht="40.5">
      <c r="A76" s="3" t="s">
        <v>183</v>
      </c>
      <c r="B76" s="6" t="s">
        <v>13</v>
      </c>
      <c r="C76" s="3" t="s">
        <v>45</v>
      </c>
      <c r="D76" s="3" t="s">
        <v>184</v>
      </c>
      <c r="E76" s="3" t="s">
        <v>21</v>
      </c>
      <c r="F76" s="3" t="s">
        <v>21</v>
      </c>
      <c r="G76" s="3" t="s">
        <v>18</v>
      </c>
      <c r="H76" s="3" t="s">
        <v>18</v>
      </c>
      <c r="I76" s="9">
        <v>1440000</v>
      </c>
      <c r="J76" s="9">
        <v>1440000</v>
      </c>
      <c r="K76" s="9">
        <f t="shared" si="6"/>
        <v>0</v>
      </c>
      <c r="L76" s="9">
        <v>0</v>
      </c>
      <c r="M76" s="9">
        <v>0</v>
      </c>
      <c r="N76" s="9">
        <f t="shared" si="7"/>
        <v>0</v>
      </c>
      <c r="O76" s="10">
        <v>0</v>
      </c>
      <c r="P76" s="10">
        <v>0</v>
      </c>
      <c r="Q76" s="10">
        <f t="shared" si="8"/>
        <v>0</v>
      </c>
    </row>
    <row r="77" spans="1:17">
      <c r="A77" s="3" t="s">
        <v>185</v>
      </c>
      <c r="B77" s="6" t="s">
        <v>13</v>
      </c>
      <c r="C77" s="3" t="s">
        <v>45</v>
      </c>
      <c r="D77" s="3" t="s">
        <v>186</v>
      </c>
      <c r="E77" s="3" t="s">
        <v>21</v>
      </c>
      <c r="F77" s="3" t="s">
        <v>21</v>
      </c>
      <c r="G77" s="3" t="s">
        <v>18</v>
      </c>
      <c r="H77" s="3" t="s">
        <v>18</v>
      </c>
      <c r="I77" s="9">
        <v>125000</v>
      </c>
      <c r="J77" s="9">
        <v>125000</v>
      </c>
      <c r="K77" s="9">
        <f t="shared" si="6"/>
        <v>0</v>
      </c>
      <c r="L77" s="9">
        <v>0</v>
      </c>
      <c r="M77" s="9">
        <v>0</v>
      </c>
      <c r="N77" s="9">
        <f t="shared" si="7"/>
        <v>0</v>
      </c>
      <c r="O77" s="10">
        <v>0</v>
      </c>
      <c r="P77" s="10">
        <v>0</v>
      </c>
      <c r="Q77" s="10">
        <f t="shared" si="8"/>
        <v>0</v>
      </c>
    </row>
    <row r="78" spans="1:17" ht="27">
      <c r="A78" s="3" t="s">
        <v>187</v>
      </c>
      <c r="B78" s="6" t="s">
        <v>13</v>
      </c>
      <c r="C78" s="3" t="s">
        <v>45</v>
      </c>
      <c r="D78" s="3" t="s">
        <v>188</v>
      </c>
      <c r="E78" s="3" t="s">
        <v>19</v>
      </c>
      <c r="F78" s="3" t="s">
        <v>19</v>
      </c>
      <c r="G78" s="3" t="s">
        <v>18</v>
      </c>
      <c r="H78" s="3" t="s">
        <v>18</v>
      </c>
      <c r="I78" s="9">
        <v>3000000</v>
      </c>
      <c r="J78" s="9">
        <v>3000000</v>
      </c>
      <c r="K78" s="9">
        <f t="shared" si="6"/>
        <v>0</v>
      </c>
      <c r="L78" s="9">
        <v>0</v>
      </c>
      <c r="M78" s="9">
        <v>0</v>
      </c>
      <c r="N78" s="9">
        <f t="shared" si="7"/>
        <v>0</v>
      </c>
      <c r="O78" s="10">
        <v>0</v>
      </c>
      <c r="P78" s="10">
        <v>0</v>
      </c>
      <c r="Q78" s="10">
        <f t="shared" si="8"/>
        <v>0</v>
      </c>
    </row>
    <row r="79" spans="1:17" ht="27">
      <c r="A79" s="3" t="s">
        <v>189</v>
      </c>
      <c r="B79" s="6" t="s">
        <v>13</v>
      </c>
      <c r="C79" s="3" t="s">
        <v>45</v>
      </c>
      <c r="D79" s="3" t="s">
        <v>190</v>
      </c>
      <c r="E79" s="3" t="s">
        <v>19</v>
      </c>
      <c r="F79" s="3" t="s">
        <v>19</v>
      </c>
      <c r="G79" s="3" t="s">
        <v>18</v>
      </c>
      <c r="H79" s="3" t="s">
        <v>18</v>
      </c>
      <c r="I79" s="9">
        <v>5871000</v>
      </c>
      <c r="J79" s="9">
        <v>5871000</v>
      </c>
      <c r="K79" s="9">
        <f t="shared" si="6"/>
        <v>0</v>
      </c>
      <c r="L79" s="9">
        <v>0</v>
      </c>
      <c r="M79" s="9">
        <v>0</v>
      </c>
      <c r="N79" s="9">
        <f t="shared" si="7"/>
        <v>0</v>
      </c>
      <c r="O79" s="10">
        <v>0</v>
      </c>
      <c r="P79" s="10">
        <v>0</v>
      </c>
      <c r="Q79" s="10">
        <f t="shared" si="8"/>
        <v>0</v>
      </c>
    </row>
    <row r="80" spans="1:17" ht="27">
      <c r="A80" s="3" t="s">
        <v>191</v>
      </c>
      <c r="B80" s="6" t="s">
        <v>10</v>
      </c>
      <c r="C80" s="3" t="s">
        <v>192</v>
      </c>
      <c r="D80" s="3" t="s">
        <v>193</v>
      </c>
      <c r="E80" s="3" t="s">
        <v>21</v>
      </c>
      <c r="F80" s="3" t="s">
        <v>19</v>
      </c>
      <c r="G80" s="3" t="s">
        <v>18</v>
      </c>
      <c r="H80" s="3" t="s">
        <v>20</v>
      </c>
      <c r="I80" s="9">
        <v>15990000</v>
      </c>
      <c r="J80" s="9">
        <v>15990000</v>
      </c>
      <c r="K80" s="9">
        <f t="shared" si="6"/>
        <v>0</v>
      </c>
      <c r="L80" s="9">
        <v>0</v>
      </c>
      <c r="M80" s="9">
        <v>9312500</v>
      </c>
      <c r="N80" s="9">
        <f t="shared" si="7"/>
        <v>9312500</v>
      </c>
      <c r="O80" s="10">
        <v>0</v>
      </c>
      <c r="P80" s="10">
        <v>58</v>
      </c>
      <c r="Q80" s="10">
        <f t="shared" si="8"/>
        <v>58</v>
      </c>
    </row>
    <row r="81" spans="1:17">
      <c r="A81" s="3" t="s">
        <v>194</v>
      </c>
      <c r="B81" s="6" t="s">
        <v>13</v>
      </c>
      <c r="C81" s="3" t="s">
        <v>45</v>
      </c>
      <c r="D81" s="3" t="s">
        <v>195</v>
      </c>
      <c r="E81" s="3" t="s">
        <v>21</v>
      </c>
      <c r="F81" s="3" t="s">
        <v>21</v>
      </c>
      <c r="G81" s="3" t="s">
        <v>18</v>
      </c>
      <c r="H81" s="3" t="s">
        <v>18</v>
      </c>
      <c r="I81" s="9">
        <v>760000</v>
      </c>
      <c r="J81" s="9">
        <v>760000</v>
      </c>
      <c r="K81" s="9">
        <f t="shared" si="6"/>
        <v>0</v>
      </c>
      <c r="L81" s="9">
        <v>0</v>
      </c>
      <c r="M81" s="9">
        <v>0</v>
      </c>
      <c r="N81" s="9">
        <f t="shared" si="7"/>
        <v>0</v>
      </c>
      <c r="O81" s="10">
        <v>0</v>
      </c>
      <c r="P81" s="10">
        <v>0</v>
      </c>
      <c r="Q81" s="10">
        <f t="shared" si="8"/>
        <v>0</v>
      </c>
    </row>
    <row r="82" spans="1:17">
      <c r="A82" s="3" t="s">
        <v>196</v>
      </c>
      <c r="B82" s="6" t="s">
        <v>13</v>
      </c>
      <c r="C82" s="3" t="s">
        <v>45</v>
      </c>
      <c r="D82" s="3" t="s">
        <v>197</v>
      </c>
      <c r="E82" s="3" t="s">
        <v>21</v>
      </c>
      <c r="F82" s="3" t="s">
        <v>21</v>
      </c>
      <c r="G82" s="3" t="s">
        <v>18</v>
      </c>
      <c r="H82" s="3" t="s">
        <v>18</v>
      </c>
      <c r="I82" s="9">
        <v>125000</v>
      </c>
      <c r="J82" s="9">
        <v>125000</v>
      </c>
      <c r="K82" s="9">
        <f t="shared" si="6"/>
        <v>0</v>
      </c>
      <c r="L82" s="9">
        <v>0</v>
      </c>
      <c r="M82" s="9">
        <v>0</v>
      </c>
      <c r="N82" s="9">
        <f t="shared" si="7"/>
        <v>0</v>
      </c>
      <c r="O82" s="10">
        <v>0</v>
      </c>
      <c r="P82" s="10">
        <v>0</v>
      </c>
      <c r="Q82" s="10">
        <f t="shared" si="8"/>
        <v>0</v>
      </c>
    </row>
    <row r="83" spans="1:17" ht="27">
      <c r="A83" s="3" t="s">
        <v>198</v>
      </c>
      <c r="B83" s="6" t="s">
        <v>10</v>
      </c>
      <c r="C83" s="3" t="s">
        <v>199</v>
      </c>
      <c r="D83" s="3" t="s">
        <v>200</v>
      </c>
      <c r="E83" s="3" t="s">
        <v>19</v>
      </c>
      <c r="F83" s="3" t="s">
        <v>21</v>
      </c>
      <c r="G83" s="3" t="s">
        <v>18</v>
      </c>
      <c r="H83" s="3" t="s">
        <v>18</v>
      </c>
      <c r="I83" s="9">
        <v>321410000</v>
      </c>
      <c r="J83" s="9">
        <v>173500000</v>
      </c>
      <c r="K83" s="9">
        <f t="shared" si="6"/>
        <v>-147910000</v>
      </c>
      <c r="L83" s="9">
        <v>0</v>
      </c>
      <c r="M83" s="9">
        <v>0</v>
      </c>
      <c r="N83" s="9">
        <f t="shared" si="7"/>
        <v>0</v>
      </c>
      <c r="O83" s="10">
        <v>0</v>
      </c>
      <c r="P83" s="10">
        <v>0</v>
      </c>
      <c r="Q83" s="10">
        <f t="shared" si="8"/>
        <v>0</v>
      </c>
    </row>
    <row r="84" spans="1:17">
      <c r="A84" s="3" t="s">
        <v>201</v>
      </c>
      <c r="B84" s="6" t="s">
        <v>13</v>
      </c>
      <c r="C84" s="3" t="s">
        <v>45</v>
      </c>
      <c r="D84" s="3" t="s">
        <v>202</v>
      </c>
      <c r="E84" s="3" t="s">
        <v>19</v>
      </c>
      <c r="F84" s="3" t="s">
        <v>19</v>
      </c>
      <c r="G84" s="3" t="s">
        <v>18</v>
      </c>
      <c r="H84" s="3" t="s">
        <v>18</v>
      </c>
      <c r="I84" s="9">
        <v>34020000</v>
      </c>
      <c r="J84" s="9">
        <v>34020000</v>
      </c>
      <c r="K84" s="9">
        <f t="shared" si="6"/>
        <v>0</v>
      </c>
      <c r="L84" s="9">
        <v>0</v>
      </c>
      <c r="M84" s="9">
        <v>0</v>
      </c>
      <c r="N84" s="9">
        <f t="shared" si="7"/>
        <v>0</v>
      </c>
      <c r="O84" s="10">
        <v>0</v>
      </c>
      <c r="P84" s="10">
        <v>0</v>
      </c>
      <c r="Q84" s="10">
        <f t="shared" si="8"/>
        <v>0</v>
      </c>
    </row>
    <row r="85" spans="1:17">
      <c r="A85" s="3" t="s">
        <v>203</v>
      </c>
      <c r="B85" s="6" t="s">
        <v>13</v>
      </c>
      <c r="C85" s="3" t="s">
        <v>45</v>
      </c>
      <c r="D85" s="3" t="s">
        <v>204</v>
      </c>
      <c r="E85" s="3" t="s">
        <v>19</v>
      </c>
      <c r="F85" s="3" t="s">
        <v>19</v>
      </c>
      <c r="G85" s="3" t="s">
        <v>18</v>
      </c>
      <c r="H85" s="3" t="s">
        <v>18</v>
      </c>
      <c r="I85" s="9">
        <v>17920000</v>
      </c>
      <c r="J85" s="9">
        <v>17920000</v>
      </c>
      <c r="K85" s="9">
        <f t="shared" si="6"/>
        <v>0</v>
      </c>
      <c r="L85" s="9">
        <v>0</v>
      </c>
      <c r="M85" s="9">
        <v>0</v>
      </c>
      <c r="N85" s="9">
        <f t="shared" si="7"/>
        <v>0</v>
      </c>
      <c r="O85" s="10">
        <v>0</v>
      </c>
      <c r="P85" s="10">
        <v>0</v>
      </c>
      <c r="Q85" s="10">
        <f t="shared" si="8"/>
        <v>0</v>
      </c>
    </row>
    <row r="86" spans="1:17">
      <c r="A86" s="3" t="s">
        <v>205</v>
      </c>
      <c r="B86" s="6" t="s">
        <v>13</v>
      </c>
      <c r="C86" s="3" t="s">
        <v>45</v>
      </c>
      <c r="D86" s="3" t="s">
        <v>206</v>
      </c>
      <c r="E86" s="3" t="s">
        <v>19</v>
      </c>
      <c r="F86" s="3" t="s">
        <v>19</v>
      </c>
      <c r="G86" s="3" t="s">
        <v>18</v>
      </c>
      <c r="H86" s="3" t="s">
        <v>18</v>
      </c>
      <c r="I86" s="9">
        <v>82730000</v>
      </c>
      <c r="J86" s="9">
        <v>82730000</v>
      </c>
      <c r="K86" s="9">
        <f t="shared" si="6"/>
        <v>0</v>
      </c>
      <c r="L86" s="9">
        <v>0</v>
      </c>
      <c r="M86" s="9">
        <v>0</v>
      </c>
      <c r="N86" s="9">
        <f t="shared" si="7"/>
        <v>0</v>
      </c>
      <c r="O86" s="10">
        <v>0</v>
      </c>
      <c r="P86" s="10">
        <v>0</v>
      </c>
      <c r="Q86" s="10">
        <f t="shared" si="8"/>
        <v>0</v>
      </c>
    </row>
    <row r="87" spans="1:17">
      <c r="A87" s="3" t="s">
        <v>207</v>
      </c>
      <c r="B87" s="6" t="s">
        <v>13</v>
      </c>
      <c r="C87" s="3" t="s">
        <v>45</v>
      </c>
      <c r="D87" s="3" t="s">
        <v>208</v>
      </c>
      <c r="E87" s="3" t="s">
        <v>19</v>
      </c>
      <c r="F87" s="3" t="s">
        <v>19</v>
      </c>
      <c r="G87" s="3" t="s">
        <v>18</v>
      </c>
      <c r="H87" s="3" t="s">
        <v>18</v>
      </c>
      <c r="I87" s="9">
        <v>31680000</v>
      </c>
      <c r="J87" s="9">
        <v>31680000</v>
      </c>
      <c r="K87" s="9">
        <f t="shared" si="6"/>
        <v>0</v>
      </c>
      <c r="L87" s="9">
        <v>0</v>
      </c>
      <c r="M87" s="9">
        <v>0</v>
      </c>
      <c r="N87" s="9">
        <f t="shared" si="7"/>
        <v>0</v>
      </c>
      <c r="O87" s="10">
        <v>0</v>
      </c>
      <c r="P87" s="10">
        <v>0</v>
      </c>
      <c r="Q87" s="10">
        <f t="shared" si="8"/>
        <v>0</v>
      </c>
    </row>
    <row r="88" spans="1:17" ht="27">
      <c r="A88" s="3" t="s">
        <v>209</v>
      </c>
      <c r="B88" s="6" t="s">
        <v>13</v>
      </c>
      <c r="C88" s="3" t="s">
        <v>45</v>
      </c>
      <c r="D88" s="3" t="s">
        <v>210</v>
      </c>
      <c r="E88" s="3" t="s">
        <v>21</v>
      </c>
      <c r="F88" s="3" t="s">
        <v>21</v>
      </c>
      <c r="G88" s="3" t="s">
        <v>18</v>
      </c>
      <c r="H88" s="3" t="s">
        <v>18</v>
      </c>
      <c r="I88" s="9">
        <v>44010000</v>
      </c>
      <c r="J88" s="9">
        <v>44010000</v>
      </c>
      <c r="K88" s="9">
        <f t="shared" si="6"/>
        <v>0</v>
      </c>
      <c r="L88" s="9">
        <v>0</v>
      </c>
      <c r="M88" s="9">
        <v>0</v>
      </c>
      <c r="N88" s="9">
        <f t="shared" si="7"/>
        <v>0</v>
      </c>
      <c r="O88" s="10">
        <v>0</v>
      </c>
      <c r="P88" s="10">
        <v>0</v>
      </c>
      <c r="Q88" s="10">
        <f t="shared" si="8"/>
        <v>0</v>
      </c>
    </row>
    <row r="89" spans="1:17" ht="54">
      <c r="A89" s="3" t="s">
        <v>211</v>
      </c>
      <c r="B89" s="6" t="s">
        <v>10</v>
      </c>
      <c r="C89" s="3" t="s">
        <v>212</v>
      </c>
      <c r="D89" s="3" t="s">
        <v>213</v>
      </c>
      <c r="E89" s="3" t="s">
        <v>21</v>
      </c>
      <c r="F89" s="3" t="s">
        <v>21</v>
      </c>
      <c r="G89" s="3" t="s">
        <v>22</v>
      </c>
      <c r="H89" s="3" t="s">
        <v>18</v>
      </c>
      <c r="I89" s="9">
        <v>80055000</v>
      </c>
      <c r="J89" s="9">
        <v>80055000</v>
      </c>
      <c r="K89" s="9">
        <f t="shared" si="6"/>
        <v>0</v>
      </c>
      <c r="L89" s="9">
        <v>79646692.040000007</v>
      </c>
      <c r="M89" s="9">
        <v>0</v>
      </c>
      <c r="N89" s="9">
        <f t="shared" si="7"/>
        <v>-79646692.040000007</v>
      </c>
      <c r="O89" s="10">
        <v>99</v>
      </c>
      <c r="P89" s="10">
        <v>0</v>
      </c>
      <c r="Q89" s="10">
        <f t="shared" si="8"/>
        <v>-99</v>
      </c>
    </row>
    <row r="90" spans="1:17" ht="40.5">
      <c r="A90" s="3" t="s">
        <v>214</v>
      </c>
      <c r="B90" s="6" t="s">
        <v>13</v>
      </c>
      <c r="C90" s="3" t="s">
        <v>45</v>
      </c>
      <c r="D90" s="3" t="s">
        <v>215</v>
      </c>
      <c r="E90" s="3" t="s">
        <v>21</v>
      </c>
      <c r="F90" s="3" t="s">
        <v>21</v>
      </c>
      <c r="G90" s="3" t="s">
        <v>18</v>
      </c>
      <c r="H90" s="3" t="s">
        <v>18</v>
      </c>
      <c r="I90" s="9">
        <v>105000000</v>
      </c>
      <c r="J90" s="9">
        <v>105000000</v>
      </c>
      <c r="K90" s="9">
        <f t="shared" si="6"/>
        <v>0</v>
      </c>
      <c r="L90" s="9">
        <v>0</v>
      </c>
      <c r="M90" s="9">
        <v>0</v>
      </c>
      <c r="N90" s="9">
        <f t="shared" si="7"/>
        <v>0</v>
      </c>
      <c r="O90" s="10">
        <v>0</v>
      </c>
      <c r="P90" s="10">
        <v>0</v>
      </c>
      <c r="Q90" s="10">
        <f t="shared" si="8"/>
        <v>0</v>
      </c>
    </row>
    <row r="91" spans="1:17">
      <c r="A91" s="3" t="s">
        <v>216</v>
      </c>
      <c r="B91" s="6" t="s">
        <v>13</v>
      </c>
      <c r="C91" s="3" t="s">
        <v>45</v>
      </c>
      <c r="D91" s="3" t="s">
        <v>217</v>
      </c>
      <c r="E91" s="3" t="s">
        <v>19</v>
      </c>
      <c r="F91" s="3" t="s">
        <v>19</v>
      </c>
      <c r="G91" s="3" t="s">
        <v>18</v>
      </c>
      <c r="H91" s="3" t="s">
        <v>18</v>
      </c>
      <c r="I91" s="9">
        <v>14400000</v>
      </c>
      <c r="J91" s="9">
        <v>14400000</v>
      </c>
      <c r="K91" s="9">
        <f t="shared" si="6"/>
        <v>0</v>
      </c>
      <c r="L91" s="9">
        <v>0</v>
      </c>
      <c r="M91" s="9">
        <v>0</v>
      </c>
      <c r="N91" s="9">
        <f t="shared" si="7"/>
        <v>0</v>
      </c>
      <c r="O91" s="10">
        <v>0</v>
      </c>
      <c r="P91" s="10">
        <v>0</v>
      </c>
      <c r="Q91" s="10">
        <f t="shared" si="8"/>
        <v>0</v>
      </c>
    </row>
    <row r="92" spans="1:17">
      <c r="A92" s="3" t="s">
        <v>218</v>
      </c>
      <c r="B92" s="6" t="s">
        <v>13</v>
      </c>
      <c r="C92" s="3" t="s">
        <v>45</v>
      </c>
      <c r="D92" s="3" t="s">
        <v>219</v>
      </c>
      <c r="E92" s="3" t="s">
        <v>21</v>
      </c>
      <c r="F92" s="3" t="s">
        <v>21</v>
      </c>
      <c r="G92" s="3" t="s">
        <v>18</v>
      </c>
      <c r="H92" s="3" t="s">
        <v>18</v>
      </c>
      <c r="I92" s="9">
        <v>70000000</v>
      </c>
      <c r="J92" s="9">
        <v>70000000</v>
      </c>
      <c r="K92" s="9">
        <f t="shared" si="6"/>
        <v>0</v>
      </c>
      <c r="L92" s="9">
        <v>0</v>
      </c>
      <c r="M92" s="9">
        <v>0</v>
      </c>
      <c r="N92" s="9">
        <f t="shared" si="7"/>
        <v>0</v>
      </c>
      <c r="O92" s="10">
        <v>0</v>
      </c>
      <c r="P92" s="10">
        <v>0</v>
      </c>
      <c r="Q92" s="10">
        <f t="shared" si="8"/>
        <v>0</v>
      </c>
    </row>
    <row r="93" spans="1:17">
      <c r="A93" s="3" t="s">
        <v>220</v>
      </c>
      <c r="B93" s="6" t="s">
        <v>13</v>
      </c>
      <c r="C93" s="3" t="s">
        <v>45</v>
      </c>
      <c r="D93" s="3" t="s">
        <v>221</v>
      </c>
      <c r="E93" s="3" t="s">
        <v>21</v>
      </c>
      <c r="F93" s="3" t="s">
        <v>21</v>
      </c>
      <c r="G93" s="3" t="s">
        <v>18</v>
      </c>
      <c r="H93" s="3" t="s">
        <v>18</v>
      </c>
      <c r="I93" s="9">
        <v>35000000</v>
      </c>
      <c r="J93" s="9">
        <v>35000000</v>
      </c>
      <c r="K93" s="9">
        <f t="shared" si="6"/>
        <v>0</v>
      </c>
      <c r="L93" s="9">
        <v>0</v>
      </c>
      <c r="M93" s="9">
        <v>0</v>
      </c>
      <c r="N93" s="9">
        <f t="shared" si="7"/>
        <v>0</v>
      </c>
      <c r="O93" s="10">
        <v>0</v>
      </c>
      <c r="P93" s="10">
        <v>0</v>
      </c>
      <c r="Q93" s="10">
        <f t="shared" si="8"/>
        <v>0</v>
      </c>
    </row>
    <row r="94" spans="1:17">
      <c r="A94" s="3" t="s">
        <v>222</v>
      </c>
      <c r="B94" s="6" t="s">
        <v>13</v>
      </c>
      <c r="C94" s="3" t="s">
        <v>45</v>
      </c>
      <c r="D94" s="3" t="s">
        <v>223</v>
      </c>
      <c r="E94" s="3" t="s">
        <v>21</v>
      </c>
      <c r="F94" s="3" t="s">
        <v>21</v>
      </c>
      <c r="G94" s="3" t="s">
        <v>18</v>
      </c>
      <c r="H94" s="3" t="s">
        <v>18</v>
      </c>
      <c r="I94" s="9">
        <v>35000000</v>
      </c>
      <c r="J94" s="9">
        <v>35000000</v>
      </c>
      <c r="K94" s="9">
        <f t="shared" si="6"/>
        <v>0</v>
      </c>
      <c r="L94" s="9">
        <v>0</v>
      </c>
      <c r="M94" s="9">
        <v>0</v>
      </c>
      <c r="N94" s="9">
        <f t="shared" si="7"/>
        <v>0</v>
      </c>
      <c r="O94" s="10">
        <v>0</v>
      </c>
      <c r="P94" s="10">
        <v>0</v>
      </c>
      <c r="Q94" s="10">
        <f t="shared" si="8"/>
        <v>0</v>
      </c>
    </row>
    <row r="95" spans="1:17">
      <c r="A95" s="3" t="s">
        <v>224</v>
      </c>
      <c r="B95" s="6" t="s">
        <v>13</v>
      </c>
      <c r="C95" s="3" t="s">
        <v>45</v>
      </c>
      <c r="D95" s="3" t="s">
        <v>225</v>
      </c>
      <c r="E95" s="3" t="s">
        <v>19</v>
      </c>
      <c r="F95" s="3" t="s">
        <v>19</v>
      </c>
      <c r="G95" s="3" t="s">
        <v>18</v>
      </c>
      <c r="H95" s="3" t="s">
        <v>18</v>
      </c>
      <c r="I95" s="9">
        <v>27520000</v>
      </c>
      <c r="J95" s="9">
        <v>27520000</v>
      </c>
      <c r="K95" s="9">
        <f t="shared" si="6"/>
        <v>0</v>
      </c>
      <c r="L95" s="9">
        <v>0</v>
      </c>
      <c r="M95" s="9">
        <v>0</v>
      </c>
      <c r="N95" s="9">
        <f t="shared" si="7"/>
        <v>0</v>
      </c>
      <c r="O95" s="10">
        <v>0</v>
      </c>
      <c r="P95" s="10">
        <v>0</v>
      </c>
      <c r="Q95" s="10">
        <f t="shared" si="8"/>
        <v>0</v>
      </c>
    </row>
    <row r="96" spans="1:17">
      <c r="A96" s="3" t="s">
        <v>226</v>
      </c>
      <c r="B96" s="6" t="s">
        <v>13</v>
      </c>
      <c r="C96" s="3" t="s">
        <v>45</v>
      </c>
      <c r="D96" s="3" t="s">
        <v>227</v>
      </c>
      <c r="E96" s="3" t="s">
        <v>21</v>
      </c>
      <c r="F96" s="3" t="s">
        <v>21</v>
      </c>
      <c r="G96" s="3" t="s">
        <v>18</v>
      </c>
      <c r="H96" s="3" t="s">
        <v>18</v>
      </c>
      <c r="I96" s="9">
        <v>750000</v>
      </c>
      <c r="J96" s="9">
        <v>750000</v>
      </c>
      <c r="K96" s="9">
        <f t="shared" si="6"/>
        <v>0</v>
      </c>
      <c r="L96" s="9">
        <v>0</v>
      </c>
      <c r="M96" s="9">
        <v>0</v>
      </c>
      <c r="N96" s="9">
        <f t="shared" si="7"/>
        <v>0</v>
      </c>
      <c r="O96" s="10">
        <v>0</v>
      </c>
      <c r="P96" s="10">
        <v>0</v>
      </c>
      <c r="Q96" s="10">
        <f t="shared" si="8"/>
        <v>0</v>
      </c>
    </row>
    <row r="97" spans="1:17">
      <c r="A97" s="3" t="s">
        <v>228</v>
      </c>
      <c r="B97" s="6" t="s">
        <v>13</v>
      </c>
      <c r="C97" s="3" t="s">
        <v>45</v>
      </c>
      <c r="D97" s="3" t="s">
        <v>229</v>
      </c>
      <c r="E97" s="3" t="s">
        <v>19</v>
      </c>
      <c r="F97" s="3" t="s">
        <v>19</v>
      </c>
      <c r="G97" s="3" t="s">
        <v>18</v>
      </c>
      <c r="H97" s="3" t="s">
        <v>18</v>
      </c>
      <c r="I97" s="9">
        <v>7680000</v>
      </c>
      <c r="J97" s="9">
        <v>7680000</v>
      </c>
      <c r="K97" s="9">
        <f t="shared" si="6"/>
        <v>0</v>
      </c>
      <c r="L97" s="9">
        <v>0</v>
      </c>
      <c r="M97" s="9">
        <v>0</v>
      </c>
      <c r="N97" s="9">
        <f t="shared" si="7"/>
        <v>0</v>
      </c>
      <c r="O97" s="10">
        <v>0</v>
      </c>
      <c r="P97" s="10">
        <v>0</v>
      </c>
      <c r="Q97" s="10">
        <f t="shared" si="8"/>
        <v>0</v>
      </c>
    </row>
    <row r="98" spans="1:17">
      <c r="A98" s="3" t="s">
        <v>230</v>
      </c>
      <c r="B98" s="6" t="s">
        <v>13</v>
      </c>
      <c r="C98" s="3" t="s">
        <v>45</v>
      </c>
      <c r="D98" s="3" t="s">
        <v>231</v>
      </c>
      <c r="E98" s="3" t="s">
        <v>19</v>
      </c>
      <c r="F98" s="3" t="s">
        <v>19</v>
      </c>
      <c r="G98" s="3" t="s">
        <v>18</v>
      </c>
      <c r="H98" s="3" t="s">
        <v>18</v>
      </c>
      <c r="I98" s="9">
        <v>28800000</v>
      </c>
      <c r="J98" s="9">
        <v>28800000</v>
      </c>
      <c r="K98" s="9">
        <f t="shared" si="6"/>
        <v>0</v>
      </c>
      <c r="L98" s="9">
        <v>0</v>
      </c>
      <c r="M98" s="9">
        <v>0</v>
      </c>
      <c r="N98" s="9">
        <f t="shared" si="7"/>
        <v>0</v>
      </c>
      <c r="O98" s="10">
        <v>0</v>
      </c>
      <c r="P98" s="10">
        <v>0</v>
      </c>
      <c r="Q98" s="10">
        <f t="shared" si="8"/>
        <v>0</v>
      </c>
    </row>
    <row r="99" spans="1:17">
      <c r="A99" s="3" t="s">
        <v>232</v>
      </c>
      <c r="B99" s="6" t="s">
        <v>13</v>
      </c>
      <c r="C99" s="3" t="s">
        <v>45</v>
      </c>
      <c r="D99" s="3" t="s">
        <v>233</v>
      </c>
      <c r="E99" s="3" t="s">
        <v>21</v>
      </c>
      <c r="F99" s="3" t="s">
        <v>21</v>
      </c>
      <c r="G99" s="3" t="s">
        <v>18</v>
      </c>
      <c r="H99" s="3" t="s">
        <v>18</v>
      </c>
      <c r="I99" s="9">
        <v>135040000</v>
      </c>
      <c r="J99" s="9">
        <v>135040000</v>
      </c>
      <c r="K99" s="9">
        <f t="shared" si="6"/>
        <v>0</v>
      </c>
      <c r="L99" s="9">
        <v>0</v>
      </c>
      <c r="M99" s="9">
        <v>0</v>
      </c>
      <c r="N99" s="9">
        <f t="shared" si="7"/>
        <v>0</v>
      </c>
      <c r="O99" s="10">
        <v>0</v>
      </c>
      <c r="P99" s="10">
        <v>0</v>
      </c>
      <c r="Q99" s="10">
        <f t="shared" si="8"/>
        <v>0</v>
      </c>
    </row>
    <row r="100" spans="1:17" ht="27">
      <c r="A100" s="3" t="s">
        <v>234</v>
      </c>
      <c r="B100" s="6" t="s">
        <v>13</v>
      </c>
      <c r="C100" s="3" t="s">
        <v>45</v>
      </c>
      <c r="D100" s="3" t="s">
        <v>235</v>
      </c>
      <c r="E100" s="3" t="s">
        <v>19</v>
      </c>
      <c r="F100" s="3" t="s">
        <v>19</v>
      </c>
      <c r="G100" s="3" t="s">
        <v>18</v>
      </c>
      <c r="H100" s="3" t="s">
        <v>18</v>
      </c>
      <c r="I100" s="9">
        <v>10441000</v>
      </c>
      <c r="J100" s="9">
        <v>10441000</v>
      </c>
      <c r="K100" s="9">
        <f t="shared" si="6"/>
        <v>0</v>
      </c>
      <c r="L100" s="9">
        <v>0</v>
      </c>
      <c r="M100" s="9">
        <v>0</v>
      </c>
      <c r="N100" s="9">
        <f t="shared" si="7"/>
        <v>0</v>
      </c>
      <c r="O100" s="10">
        <v>0</v>
      </c>
      <c r="P100" s="10">
        <v>0</v>
      </c>
      <c r="Q100" s="10">
        <f t="shared" si="8"/>
        <v>0</v>
      </c>
    </row>
    <row r="101" spans="1:17" ht="27">
      <c r="A101" s="3" t="s">
        <v>236</v>
      </c>
      <c r="B101" s="6" t="s">
        <v>13</v>
      </c>
      <c r="C101" s="3" t="s">
        <v>45</v>
      </c>
      <c r="D101" s="3" t="s">
        <v>237</v>
      </c>
      <c r="E101" s="3" t="s">
        <v>21</v>
      </c>
      <c r="F101" s="3" t="s">
        <v>21</v>
      </c>
      <c r="G101" s="3" t="s">
        <v>18</v>
      </c>
      <c r="H101" s="3" t="s">
        <v>18</v>
      </c>
      <c r="I101" s="9">
        <v>244538000</v>
      </c>
      <c r="J101" s="9">
        <v>244538000</v>
      </c>
      <c r="K101" s="9">
        <f t="shared" ref="K101:K132" si="9">IF(OR(I101="",J101=""),"",J101-I101)</f>
        <v>0</v>
      </c>
      <c r="L101" s="9">
        <v>0</v>
      </c>
      <c r="M101" s="9">
        <v>0</v>
      </c>
      <c r="N101" s="9">
        <f t="shared" ref="N101:N132" si="10">IF(OR(L101="",M101=""),"",M101-L101)</f>
        <v>0</v>
      </c>
      <c r="O101" s="10">
        <v>0</v>
      </c>
      <c r="P101" s="10">
        <v>0</v>
      </c>
      <c r="Q101" s="10">
        <f t="shared" ref="Q101:Q132" si="11">IF(OR(O101="",P101=""),"",P101-O101)</f>
        <v>0</v>
      </c>
    </row>
    <row r="102" spans="1:17">
      <c r="A102" s="3" t="s">
        <v>238</v>
      </c>
      <c r="B102" s="6" t="s">
        <v>10</v>
      </c>
      <c r="C102" s="3" t="s">
        <v>239</v>
      </c>
      <c r="D102" s="3" t="s">
        <v>240</v>
      </c>
      <c r="E102" s="3" t="s">
        <v>19</v>
      </c>
      <c r="F102" s="3" t="s">
        <v>19</v>
      </c>
      <c r="G102" s="3" t="s">
        <v>22</v>
      </c>
      <c r="H102" s="3" t="s">
        <v>22</v>
      </c>
      <c r="I102" s="9">
        <v>6330000</v>
      </c>
      <c r="J102" s="9">
        <v>114356000</v>
      </c>
      <c r="K102" s="9">
        <f t="shared" si="9"/>
        <v>108026000</v>
      </c>
      <c r="L102" s="9">
        <v>6164812</v>
      </c>
      <c r="M102" s="9">
        <v>6164812</v>
      </c>
      <c r="N102" s="9">
        <f t="shared" si="10"/>
        <v>0</v>
      </c>
      <c r="O102" s="10">
        <v>97</v>
      </c>
      <c r="P102" s="10">
        <v>5</v>
      </c>
      <c r="Q102" s="10">
        <f t="shared" si="11"/>
        <v>-92</v>
      </c>
    </row>
    <row r="103" spans="1:17" ht="27">
      <c r="A103" s="3" t="s">
        <v>241</v>
      </c>
      <c r="B103" s="6" t="s">
        <v>13</v>
      </c>
      <c r="C103" s="3" t="s">
        <v>45</v>
      </c>
      <c r="D103" s="3" t="s">
        <v>242</v>
      </c>
      <c r="E103" s="3" t="s">
        <v>19</v>
      </c>
      <c r="F103" s="3" t="s">
        <v>19</v>
      </c>
      <c r="G103" s="3" t="s">
        <v>24</v>
      </c>
      <c r="H103" s="3" t="s">
        <v>24</v>
      </c>
      <c r="I103" s="9">
        <v>10080000</v>
      </c>
      <c r="J103" s="9">
        <v>10080000</v>
      </c>
      <c r="K103" s="9">
        <f t="shared" si="9"/>
        <v>0</v>
      </c>
      <c r="L103" s="9">
        <v>7176000</v>
      </c>
      <c r="M103" s="9">
        <v>7176000</v>
      </c>
      <c r="N103" s="9">
        <f t="shared" si="10"/>
        <v>0</v>
      </c>
      <c r="O103" s="10">
        <v>71</v>
      </c>
      <c r="P103" s="10">
        <v>71</v>
      </c>
      <c r="Q103" s="10">
        <f t="shared" si="11"/>
        <v>0</v>
      </c>
    </row>
    <row r="104" spans="1:17">
      <c r="A104" s="3" t="s">
        <v>243</v>
      </c>
      <c r="B104" s="6" t="s">
        <v>13</v>
      </c>
      <c r="C104" s="3" t="s">
        <v>45</v>
      </c>
      <c r="D104" s="3" t="s">
        <v>244</v>
      </c>
      <c r="E104" s="3" t="s">
        <v>21</v>
      </c>
      <c r="F104" s="3" t="s">
        <v>21</v>
      </c>
      <c r="G104" s="3" t="s">
        <v>18</v>
      </c>
      <c r="H104" s="3" t="s">
        <v>18</v>
      </c>
      <c r="I104" s="9">
        <v>6720000</v>
      </c>
      <c r="J104" s="9">
        <v>6720000</v>
      </c>
      <c r="K104" s="9">
        <f t="shared" si="9"/>
        <v>0</v>
      </c>
      <c r="L104" s="9">
        <v>0</v>
      </c>
      <c r="M104" s="9">
        <v>0</v>
      </c>
      <c r="N104" s="9">
        <f t="shared" si="10"/>
        <v>0</v>
      </c>
      <c r="O104" s="10">
        <v>0</v>
      </c>
      <c r="P104" s="10">
        <v>0</v>
      </c>
      <c r="Q104" s="10">
        <f t="shared" si="11"/>
        <v>0</v>
      </c>
    </row>
    <row r="105" spans="1:17">
      <c r="A105" s="3" t="s">
        <v>245</v>
      </c>
      <c r="B105" s="6" t="s">
        <v>13</v>
      </c>
      <c r="C105" s="3" t="s">
        <v>45</v>
      </c>
      <c r="D105" s="3" t="s">
        <v>246</v>
      </c>
      <c r="E105" s="3" t="s">
        <v>21</v>
      </c>
      <c r="F105" s="3" t="s">
        <v>21</v>
      </c>
      <c r="G105" s="3" t="s">
        <v>18</v>
      </c>
      <c r="H105" s="3" t="s">
        <v>18</v>
      </c>
      <c r="I105" s="9">
        <v>1050000</v>
      </c>
      <c r="J105" s="9">
        <v>1050000</v>
      </c>
      <c r="K105" s="9">
        <f t="shared" si="9"/>
        <v>0</v>
      </c>
      <c r="L105" s="9">
        <v>0</v>
      </c>
      <c r="M105" s="9">
        <v>0</v>
      </c>
      <c r="N105" s="9">
        <f t="shared" si="10"/>
        <v>0</v>
      </c>
      <c r="O105" s="10">
        <v>0</v>
      </c>
      <c r="P105" s="10">
        <v>0</v>
      </c>
      <c r="Q105" s="10">
        <f t="shared" si="11"/>
        <v>0</v>
      </c>
    </row>
    <row r="106" spans="1:17">
      <c r="A106" s="3" t="s">
        <v>247</v>
      </c>
      <c r="B106" s="6" t="s">
        <v>10</v>
      </c>
      <c r="C106" s="3" t="s">
        <v>248</v>
      </c>
      <c r="D106" s="3" t="s">
        <v>249</v>
      </c>
      <c r="E106" s="3" t="s">
        <v>19</v>
      </c>
      <c r="F106" s="3" t="s">
        <v>19</v>
      </c>
      <c r="G106" s="3" t="s">
        <v>20</v>
      </c>
      <c r="H106" s="3" t="s">
        <v>20</v>
      </c>
      <c r="I106" s="9">
        <v>3200040000</v>
      </c>
      <c r="J106" s="9">
        <v>3200040000</v>
      </c>
      <c r="K106" s="9">
        <f t="shared" si="9"/>
        <v>0</v>
      </c>
      <c r="L106" s="9">
        <v>2984279816</v>
      </c>
      <c r="M106" s="9">
        <v>3011121866</v>
      </c>
      <c r="N106" s="9">
        <f t="shared" si="10"/>
        <v>26842050</v>
      </c>
      <c r="O106" s="10">
        <v>93</v>
      </c>
      <c r="P106" s="10">
        <v>94</v>
      </c>
      <c r="Q106" s="10">
        <f t="shared" si="11"/>
        <v>1</v>
      </c>
    </row>
    <row r="107" spans="1:17">
      <c r="A107" s="3" t="s">
        <v>250</v>
      </c>
      <c r="B107" s="6" t="s">
        <v>13</v>
      </c>
      <c r="C107" s="3" t="s">
        <v>45</v>
      </c>
      <c r="D107" s="3" t="s">
        <v>251</v>
      </c>
      <c r="E107" s="3" t="s">
        <v>21</v>
      </c>
      <c r="F107" s="3" t="s">
        <v>21</v>
      </c>
      <c r="G107" s="3" t="s">
        <v>18</v>
      </c>
      <c r="H107" s="3" t="s">
        <v>18</v>
      </c>
      <c r="I107" s="9">
        <v>6720000</v>
      </c>
      <c r="J107" s="9">
        <v>6720000</v>
      </c>
      <c r="K107" s="9">
        <f t="shared" si="9"/>
        <v>0</v>
      </c>
      <c r="L107" s="9">
        <v>0</v>
      </c>
      <c r="M107" s="9">
        <v>0</v>
      </c>
      <c r="N107" s="9">
        <f t="shared" si="10"/>
        <v>0</v>
      </c>
      <c r="O107" s="10">
        <v>0</v>
      </c>
      <c r="P107" s="10">
        <v>0</v>
      </c>
      <c r="Q107" s="10">
        <f t="shared" si="11"/>
        <v>0</v>
      </c>
    </row>
    <row r="108" spans="1:17">
      <c r="A108" s="3" t="s">
        <v>252</v>
      </c>
      <c r="B108" s="6" t="s">
        <v>10</v>
      </c>
      <c r="C108" s="3" t="s">
        <v>80</v>
      </c>
      <c r="D108" s="3" t="s">
        <v>253</v>
      </c>
      <c r="E108" s="3" t="s">
        <v>21</v>
      </c>
      <c r="F108" s="3" t="s">
        <v>21</v>
      </c>
      <c r="G108" s="3" t="s">
        <v>18</v>
      </c>
      <c r="H108" s="3" t="s">
        <v>18</v>
      </c>
      <c r="I108" s="9">
        <v>14320004</v>
      </c>
      <c r="J108" s="9">
        <v>26040000</v>
      </c>
      <c r="K108" s="9">
        <f t="shared" si="9"/>
        <v>11719996</v>
      </c>
      <c r="L108" s="9">
        <v>0</v>
      </c>
      <c r="M108" s="9">
        <v>0</v>
      </c>
      <c r="N108" s="9">
        <f t="shared" si="10"/>
        <v>0</v>
      </c>
      <c r="O108" s="10">
        <v>0</v>
      </c>
      <c r="P108" s="10">
        <v>0</v>
      </c>
      <c r="Q108" s="10">
        <f t="shared" si="11"/>
        <v>0</v>
      </c>
    </row>
    <row r="109" spans="1:17" ht="27">
      <c r="A109" s="3" t="s">
        <v>254</v>
      </c>
      <c r="B109" s="6" t="s">
        <v>10</v>
      </c>
      <c r="C109" s="3" t="s">
        <v>212</v>
      </c>
      <c r="D109" s="3" t="s">
        <v>255</v>
      </c>
      <c r="E109" s="3" t="s">
        <v>21</v>
      </c>
      <c r="F109" s="3" t="s">
        <v>21</v>
      </c>
      <c r="G109" s="3" t="s">
        <v>22</v>
      </c>
      <c r="H109" s="3" t="s">
        <v>18</v>
      </c>
      <c r="I109" s="9">
        <v>183632004</v>
      </c>
      <c r="J109" s="9">
        <v>183632004</v>
      </c>
      <c r="K109" s="9">
        <f t="shared" si="9"/>
        <v>0</v>
      </c>
      <c r="L109" s="9">
        <v>149564286</v>
      </c>
      <c r="M109" s="9">
        <v>0</v>
      </c>
      <c r="N109" s="9">
        <f t="shared" si="10"/>
        <v>-149564286</v>
      </c>
      <c r="O109" s="10">
        <v>81</v>
      </c>
      <c r="P109" s="10">
        <v>0</v>
      </c>
      <c r="Q109" s="10">
        <f t="shared" si="11"/>
        <v>-81</v>
      </c>
    </row>
    <row r="110" spans="1:17" ht="27">
      <c r="A110" s="3" t="s">
        <v>256</v>
      </c>
      <c r="B110" s="6" t="s">
        <v>10</v>
      </c>
      <c r="C110" s="3" t="s">
        <v>70</v>
      </c>
      <c r="D110" s="3" t="s">
        <v>257</v>
      </c>
      <c r="E110" s="3" t="s">
        <v>21</v>
      </c>
      <c r="F110" s="3" t="s">
        <v>21</v>
      </c>
      <c r="G110" s="3" t="s">
        <v>18</v>
      </c>
      <c r="H110" s="3" t="s">
        <v>18</v>
      </c>
      <c r="I110" s="9">
        <v>458332020</v>
      </c>
      <c r="J110" s="9">
        <v>297675000</v>
      </c>
      <c r="K110" s="9">
        <f t="shared" si="9"/>
        <v>-160657020</v>
      </c>
      <c r="L110" s="9">
        <v>0</v>
      </c>
      <c r="M110" s="9">
        <v>0</v>
      </c>
      <c r="N110" s="9">
        <f t="shared" si="10"/>
        <v>0</v>
      </c>
      <c r="O110" s="10">
        <v>0</v>
      </c>
      <c r="P110" s="10">
        <v>0</v>
      </c>
      <c r="Q110" s="10">
        <f t="shared" si="11"/>
        <v>0</v>
      </c>
    </row>
    <row r="111" spans="1:17">
      <c r="A111" s="3" t="s">
        <v>258</v>
      </c>
      <c r="B111" s="6" t="s">
        <v>13</v>
      </c>
      <c r="C111" s="3" t="s">
        <v>45</v>
      </c>
      <c r="D111" s="3" t="s">
        <v>110</v>
      </c>
      <c r="E111" s="3" t="s">
        <v>21</v>
      </c>
      <c r="F111" s="3" t="s">
        <v>21</v>
      </c>
      <c r="G111" s="3" t="s">
        <v>18</v>
      </c>
      <c r="H111" s="3" t="s">
        <v>18</v>
      </c>
      <c r="I111" s="9">
        <v>2750000</v>
      </c>
      <c r="J111" s="9">
        <v>2750000</v>
      </c>
      <c r="K111" s="9">
        <f t="shared" si="9"/>
        <v>0</v>
      </c>
      <c r="L111" s="9">
        <v>0</v>
      </c>
      <c r="M111" s="9">
        <v>0</v>
      </c>
      <c r="N111" s="9">
        <f t="shared" si="10"/>
        <v>0</v>
      </c>
      <c r="O111" s="10">
        <v>0</v>
      </c>
      <c r="P111" s="10">
        <v>0</v>
      </c>
      <c r="Q111" s="10">
        <f t="shared" si="11"/>
        <v>0</v>
      </c>
    </row>
    <row r="112" spans="1:17">
      <c r="A112" s="3" t="s">
        <v>259</v>
      </c>
      <c r="B112" s="6" t="s">
        <v>13</v>
      </c>
      <c r="C112" s="3" t="s">
        <v>45</v>
      </c>
      <c r="D112" s="3" t="s">
        <v>110</v>
      </c>
      <c r="E112" s="3" t="s">
        <v>21</v>
      </c>
      <c r="F112" s="3" t="s">
        <v>21</v>
      </c>
      <c r="G112" s="3" t="s">
        <v>18</v>
      </c>
      <c r="H112" s="3" t="s">
        <v>18</v>
      </c>
      <c r="I112" s="9">
        <v>1500000</v>
      </c>
      <c r="J112" s="9">
        <v>1500000</v>
      </c>
      <c r="K112" s="9">
        <f t="shared" si="9"/>
        <v>0</v>
      </c>
      <c r="L112" s="9">
        <v>0</v>
      </c>
      <c r="M112" s="9">
        <v>0</v>
      </c>
      <c r="N112" s="9">
        <f t="shared" si="10"/>
        <v>0</v>
      </c>
      <c r="O112" s="10">
        <v>0</v>
      </c>
      <c r="P112" s="10">
        <v>0</v>
      </c>
      <c r="Q112" s="10">
        <f t="shared" si="11"/>
        <v>0</v>
      </c>
    </row>
    <row r="113" spans="1:17" ht="27">
      <c r="A113" s="3" t="s">
        <v>260</v>
      </c>
      <c r="B113" s="6" t="s">
        <v>13</v>
      </c>
      <c r="C113" s="3" t="s">
        <v>45</v>
      </c>
      <c r="D113" s="3" t="s">
        <v>261</v>
      </c>
      <c r="E113" s="3" t="s">
        <v>19</v>
      </c>
      <c r="F113" s="3" t="s">
        <v>19</v>
      </c>
      <c r="G113" s="3" t="s">
        <v>24</v>
      </c>
      <c r="H113" s="3" t="s">
        <v>24</v>
      </c>
      <c r="I113" s="9">
        <v>120000000</v>
      </c>
      <c r="J113" s="9">
        <v>120000000</v>
      </c>
      <c r="K113" s="9">
        <f t="shared" si="9"/>
        <v>0</v>
      </c>
      <c r="L113" s="9">
        <v>119200680</v>
      </c>
      <c r="M113" s="9">
        <v>119200680</v>
      </c>
      <c r="N113" s="9">
        <f t="shared" si="10"/>
        <v>0</v>
      </c>
      <c r="O113" s="10">
        <v>99</v>
      </c>
      <c r="P113" s="10">
        <v>99</v>
      </c>
      <c r="Q113" s="10">
        <f t="shared" si="11"/>
        <v>0</v>
      </c>
    </row>
    <row r="114" spans="1:17">
      <c r="A114" s="3" t="s">
        <v>262</v>
      </c>
      <c r="B114" s="6" t="s">
        <v>13</v>
      </c>
      <c r="C114" s="3" t="s">
        <v>45</v>
      </c>
      <c r="D114" s="3" t="s">
        <v>263</v>
      </c>
      <c r="E114" s="3" t="s">
        <v>19</v>
      </c>
      <c r="F114" s="3" t="s">
        <v>19</v>
      </c>
      <c r="G114" s="3" t="s">
        <v>22</v>
      </c>
      <c r="H114" s="3" t="s">
        <v>22</v>
      </c>
      <c r="I114" s="9">
        <v>36000000</v>
      </c>
      <c r="J114" s="9">
        <v>36000000</v>
      </c>
      <c r="K114" s="9">
        <f t="shared" si="9"/>
        <v>0</v>
      </c>
      <c r="L114" s="9">
        <v>35760204</v>
      </c>
      <c r="M114" s="9">
        <v>35760204</v>
      </c>
      <c r="N114" s="9">
        <f t="shared" si="10"/>
        <v>0</v>
      </c>
      <c r="O114" s="10">
        <v>99</v>
      </c>
      <c r="P114" s="10">
        <v>99</v>
      </c>
      <c r="Q114" s="10">
        <f t="shared" si="11"/>
        <v>0</v>
      </c>
    </row>
    <row r="115" spans="1:17">
      <c r="A115" s="3" t="s">
        <v>264</v>
      </c>
      <c r="B115" s="6" t="s">
        <v>13</v>
      </c>
      <c r="C115" s="3" t="s">
        <v>45</v>
      </c>
      <c r="D115" s="3" t="s">
        <v>265</v>
      </c>
      <c r="E115" s="3" t="s">
        <v>21</v>
      </c>
      <c r="F115" s="3" t="s">
        <v>21</v>
      </c>
      <c r="G115" s="3" t="s">
        <v>18</v>
      </c>
      <c r="H115" s="3" t="s">
        <v>18</v>
      </c>
      <c r="I115" s="9">
        <v>78560000</v>
      </c>
      <c r="J115" s="9">
        <v>78560000</v>
      </c>
      <c r="K115" s="9">
        <f t="shared" si="9"/>
        <v>0</v>
      </c>
      <c r="L115" s="9">
        <v>0</v>
      </c>
      <c r="M115" s="9">
        <v>0</v>
      </c>
      <c r="N115" s="9">
        <f t="shared" si="10"/>
        <v>0</v>
      </c>
      <c r="O115" s="10">
        <v>0</v>
      </c>
      <c r="P115" s="10">
        <v>0</v>
      </c>
      <c r="Q115" s="10">
        <f t="shared" si="11"/>
        <v>0</v>
      </c>
    </row>
    <row r="116" spans="1:17">
      <c r="A116" s="3" t="s">
        <v>266</v>
      </c>
      <c r="B116" s="6" t="s">
        <v>13</v>
      </c>
      <c r="C116" s="3" t="s">
        <v>45</v>
      </c>
      <c r="D116" s="3" t="s">
        <v>267</v>
      </c>
      <c r="E116" s="3" t="s">
        <v>21</v>
      </c>
      <c r="F116" s="3" t="s">
        <v>21</v>
      </c>
      <c r="G116" s="3" t="s">
        <v>18</v>
      </c>
      <c r="H116" s="3" t="s">
        <v>18</v>
      </c>
      <c r="I116" s="9">
        <v>160236000</v>
      </c>
      <c r="J116" s="9">
        <v>160236000</v>
      </c>
      <c r="K116" s="9">
        <f t="shared" si="9"/>
        <v>0</v>
      </c>
      <c r="L116" s="9">
        <v>0</v>
      </c>
      <c r="M116" s="9">
        <v>0</v>
      </c>
      <c r="N116" s="9">
        <f t="shared" si="10"/>
        <v>0</v>
      </c>
      <c r="O116" s="10">
        <v>0</v>
      </c>
      <c r="P116" s="10">
        <v>0</v>
      </c>
      <c r="Q116" s="10">
        <f t="shared" si="11"/>
        <v>0</v>
      </c>
    </row>
    <row r="117" spans="1:17">
      <c r="A117" s="3" t="s">
        <v>268</v>
      </c>
      <c r="B117" s="6" t="s">
        <v>13</v>
      </c>
      <c r="C117" s="3" t="s">
        <v>45</v>
      </c>
      <c r="D117" s="3" t="s">
        <v>269</v>
      </c>
      <c r="E117" s="3" t="s">
        <v>19</v>
      </c>
      <c r="F117" s="3" t="s">
        <v>19</v>
      </c>
      <c r="G117" s="3" t="s">
        <v>18</v>
      </c>
      <c r="H117" s="3" t="s">
        <v>18</v>
      </c>
      <c r="I117" s="9">
        <v>119760000</v>
      </c>
      <c r="J117" s="9">
        <v>119760000</v>
      </c>
      <c r="K117" s="9">
        <f t="shared" si="9"/>
        <v>0</v>
      </c>
      <c r="L117" s="9">
        <v>0</v>
      </c>
      <c r="M117" s="9">
        <v>0</v>
      </c>
      <c r="N117" s="9">
        <f t="shared" si="10"/>
        <v>0</v>
      </c>
      <c r="O117" s="10">
        <v>0</v>
      </c>
      <c r="P117" s="10">
        <v>0</v>
      </c>
      <c r="Q117" s="10">
        <f t="shared" si="11"/>
        <v>0</v>
      </c>
    </row>
    <row r="118" spans="1:17">
      <c r="A118" s="3" t="s">
        <v>270</v>
      </c>
      <c r="B118" s="6" t="s">
        <v>13</v>
      </c>
      <c r="C118" s="3" t="s">
        <v>45</v>
      </c>
      <c r="D118" s="3" t="s">
        <v>271</v>
      </c>
      <c r="E118" s="3" t="s">
        <v>21</v>
      </c>
      <c r="F118" s="3" t="s">
        <v>21</v>
      </c>
      <c r="G118" s="3" t="s">
        <v>18</v>
      </c>
      <c r="H118" s="3" t="s">
        <v>18</v>
      </c>
      <c r="I118" s="9">
        <v>157270000</v>
      </c>
      <c r="J118" s="9">
        <v>157270000</v>
      </c>
      <c r="K118" s="9">
        <f t="shared" si="9"/>
        <v>0</v>
      </c>
      <c r="L118" s="9">
        <v>0</v>
      </c>
      <c r="M118" s="9">
        <v>0</v>
      </c>
      <c r="N118" s="9">
        <f t="shared" si="10"/>
        <v>0</v>
      </c>
      <c r="O118" s="10">
        <v>0</v>
      </c>
      <c r="P118" s="10">
        <v>0</v>
      </c>
      <c r="Q118" s="10">
        <f t="shared" si="11"/>
        <v>0</v>
      </c>
    </row>
    <row r="119" spans="1:17" ht="27">
      <c r="A119" s="3" t="s">
        <v>272</v>
      </c>
      <c r="B119" s="6" t="s">
        <v>10</v>
      </c>
      <c r="C119" s="3" t="s">
        <v>212</v>
      </c>
      <c r="D119" s="3" t="s">
        <v>273</v>
      </c>
      <c r="E119" s="3" t="s">
        <v>21</v>
      </c>
      <c r="F119" s="3" t="s">
        <v>21</v>
      </c>
      <c r="G119" s="3" t="s">
        <v>22</v>
      </c>
      <c r="H119" s="3" t="s">
        <v>18</v>
      </c>
      <c r="I119" s="9">
        <v>111000000</v>
      </c>
      <c r="J119" s="9">
        <v>111000000</v>
      </c>
      <c r="K119" s="9">
        <f t="shared" si="9"/>
        <v>0</v>
      </c>
      <c r="L119" s="9">
        <v>110335511.59999999</v>
      </c>
      <c r="M119" s="9">
        <v>0</v>
      </c>
      <c r="N119" s="9">
        <f t="shared" si="10"/>
        <v>-110335511.59999999</v>
      </c>
      <c r="O119" s="10">
        <v>99</v>
      </c>
      <c r="P119" s="10">
        <v>0</v>
      </c>
      <c r="Q119" s="10">
        <f t="shared" si="11"/>
        <v>-99</v>
      </c>
    </row>
    <row r="120" spans="1:17" ht="27">
      <c r="A120" s="3" t="s">
        <v>274</v>
      </c>
      <c r="B120" s="6" t="s">
        <v>13</v>
      </c>
      <c r="C120" s="3" t="s">
        <v>45</v>
      </c>
      <c r="D120" s="3" t="s">
        <v>275</v>
      </c>
      <c r="E120" s="3" t="s">
        <v>21</v>
      </c>
      <c r="F120" s="3" t="s">
        <v>21</v>
      </c>
      <c r="G120" s="3" t="s">
        <v>18</v>
      </c>
      <c r="H120" s="3" t="s">
        <v>18</v>
      </c>
      <c r="I120" s="9">
        <v>49995600</v>
      </c>
      <c r="J120" s="9">
        <v>49995600</v>
      </c>
      <c r="K120" s="9">
        <f t="shared" si="9"/>
        <v>0</v>
      </c>
      <c r="L120" s="9">
        <v>0</v>
      </c>
      <c r="M120" s="9">
        <v>0</v>
      </c>
      <c r="N120" s="9">
        <f t="shared" si="10"/>
        <v>0</v>
      </c>
      <c r="O120" s="10">
        <v>0</v>
      </c>
      <c r="P120" s="10">
        <v>0</v>
      </c>
      <c r="Q120" s="10">
        <f t="shared" si="11"/>
        <v>0</v>
      </c>
    </row>
    <row r="121" spans="1:17" ht="27">
      <c r="A121" s="3" t="s">
        <v>276</v>
      </c>
      <c r="B121" s="6" t="s">
        <v>13</v>
      </c>
      <c r="C121" s="3" t="s">
        <v>45</v>
      </c>
      <c r="D121" s="3" t="s">
        <v>277</v>
      </c>
      <c r="E121" s="3" t="s">
        <v>21</v>
      </c>
      <c r="F121" s="3" t="s">
        <v>21</v>
      </c>
      <c r="G121" s="3" t="s">
        <v>18</v>
      </c>
      <c r="H121" s="3" t="s">
        <v>18</v>
      </c>
      <c r="I121" s="9">
        <v>17250000</v>
      </c>
      <c r="J121" s="9">
        <v>17250000</v>
      </c>
      <c r="K121" s="9">
        <f t="shared" si="9"/>
        <v>0</v>
      </c>
      <c r="L121" s="9">
        <v>0</v>
      </c>
      <c r="M121" s="9">
        <v>0</v>
      </c>
      <c r="N121" s="9">
        <f t="shared" si="10"/>
        <v>0</v>
      </c>
      <c r="O121" s="10">
        <v>0</v>
      </c>
      <c r="P121" s="10">
        <v>0</v>
      </c>
      <c r="Q121" s="10">
        <f t="shared" si="11"/>
        <v>0</v>
      </c>
    </row>
    <row r="122" spans="1:17">
      <c r="A122" s="3" t="s">
        <v>278</v>
      </c>
      <c r="B122" s="6" t="s">
        <v>13</v>
      </c>
      <c r="C122" s="3" t="s">
        <v>45</v>
      </c>
      <c r="D122" s="3" t="s">
        <v>279</v>
      </c>
      <c r="E122" s="3" t="s">
        <v>21</v>
      </c>
      <c r="F122" s="3" t="s">
        <v>21</v>
      </c>
      <c r="G122" s="3" t="s">
        <v>22</v>
      </c>
      <c r="H122" s="3" t="s">
        <v>22</v>
      </c>
      <c r="I122" s="9">
        <v>129844400</v>
      </c>
      <c r="J122" s="9">
        <v>129844400</v>
      </c>
      <c r="K122" s="9">
        <f t="shared" si="9"/>
        <v>0</v>
      </c>
      <c r="L122" s="9">
        <v>11406300</v>
      </c>
      <c r="M122" s="9">
        <v>11406300</v>
      </c>
      <c r="N122" s="9">
        <f t="shared" si="10"/>
        <v>0</v>
      </c>
      <c r="O122" s="10">
        <v>9</v>
      </c>
      <c r="P122" s="10">
        <v>9</v>
      </c>
      <c r="Q122" s="10">
        <f t="shared" si="11"/>
        <v>0</v>
      </c>
    </row>
    <row r="123" spans="1:17" ht="27">
      <c r="A123" s="3" t="s">
        <v>280</v>
      </c>
      <c r="B123" s="6" t="s">
        <v>13</v>
      </c>
      <c r="C123" s="3" t="s">
        <v>45</v>
      </c>
      <c r="D123" s="3" t="s">
        <v>281</v>
      </c>
      <c r="E123" s="3" t="s">
        <v>21</v>
      </c>
      <c r="F123" s="3" t="s">
        <v>21</v>
      </c>
      <c r="G123" s="3" t="s">
        <v>18</v>
      </c>
      <c r="H123" s="3" t="s">
        <v>18</v>
      </c>
      <c r="I123" s="9">
        <v>43200000</v>
      </c>
      <c r="J123" s="9">
        <v>43200000</v>
      </c>
      <c r="K123" s="9">
        <f t="shared" si="9"/>
        <v>0</v>
      </c>
      <c r="L123" s="9">
        <v>0</v>
      </c>
      <c r="M123" s="9">
        <v>0</v>
      </c>
      <c r="N123" s="9">
        <f t="shared" si="10"/>
        <v>0</v>
      </c>
      <c r="O123" s="10">
        <v>0</v>
      </c>
      <c r="P123" s="10">
        <v>0</v>
      </c>
      <c r="Q123" s="10">
        <f t="shared" si="11"/>
        <v>0</v>
      </c>
    </row>
    <row r="124" spans="1:17">
      <c r="A124" s="3" t="s">
        <v>282</v>
      </c>
      <c r="B124" s="6" t="s">
        <v>13</v>
      </c>
      <c r="C124" s="3" t="s">
        <v>45</v>
      </c>
      <c r="D124" s="3" t="s">
        <v>283</v>
      </c>
      <c r="E124" s="3" t="s">
        <v>21</v>
      </c>
      <c r="F124" s="3" t="s">
        <v>21</v>
      </c>
      <c r="G124" s="3" t="s">
        <v>18</v>
      </c>
      <c r="H124" s="3" t="s">
        <v>18</v>
      </c>
      <c r="I124" s="9">
        <v>8990000</v>
      </c>
      <c r="J124" s="9">
        <v>8990000</v>
      </c>
      <c r="K124" s="9">
        <f t="shared" si="9"/>
        <v>0</v>
      </c>
      <c r="L124" s="9">
        <v>0</v>
      </c>
      <c r="M124" s="9">
        <v>0</v>
      </c>
      <c r="N124" s="9">
        <f t="shared" si="10"/>
        <v>0</v>
      </c>
      <c r="O124" s="10">
        <v>0</v>
      </c>
      <c r="P124" s="10">
        <v>0</v>
      </c>
      <c r="Q124" s="10">
        <f t="shared" si="11"/>
        <v>0</v>
      </c>
    </row>
    <row r="125" spans="1:17">
      <c r="A125" s="3" t="s">
        <v>284</v>
      </c>
      <c r="B125" s="6" t="s">
        <v>13</v>
      </c>
      <c r="C125" s="3" t="s">
        <v>45</v>
      </c>
      <c r="D125" s="3" t="s">
        <v>285</v>
      </c>
      <c r="E125" s="3" t="s">
        <v>21</v>
      </c>
      <c r="F125" s="3" t="s">
        <v>21</v>
      </c>
      <c r="G125" s="3" t="s">
        <v>18</v>
      </c>
      <c r="H125" s="3" t="s">
        <v>18</v>
      </c>
      <c r="I125" s="9">
        <v>21615000</v>
      </c>
      <c r="J125" s="9">
        <v>21615000</v>
      </c>
      <c r="K125" s="9">
        <f t="shared" si="9"/>
        <v>0</v>
      </c>
      <c r="L125" s="9">
        <v>0</v>
      </c>
      <c r="M125" s="9">
        <v>0</v>
      </c>
      <c r="N125" s="9">
        <f t="shared" si="10"/>
        <v>0</v>
      </c>
      <c r="O125" s="10">
        <v>0</v>
      </c>
      <c r="P125" s="10">
        <v>0</v>
      </c>
      <c r="Q125" s="10">
        <f t="shared" si="11"/>
        <v>0</v>
      </c>
    </row>
    <row r="126" spans="1:17" ht="27">
      <c r="A126" s="3" t="s">
        <v>286</v>
      </c>
      <c r="B126" s="6" t="s">
        <v>10</v>
      </c>
      <c r="C126" s="3" t="s">
        <v>212</v>
      </c>
      <c r="D126" s="3" t="s">
        <v>287</v>
      </c>
      <c r="E126" s="3" t="s">
        <v>21</v>
      </c>
      <c r="F126" s="3" t="s">
        <v>21</v>
      </c>
      <c r="G126" s="3" t="s">
        <v>22</v>
      </c>
      <c r="H126" s="3" t="s">
        <v>18</v>
      </c>
      <c r="I126" s="9">
        <v>76726000</v>
      </c>
      <c r="J126" s="9">
        <v>76726000</v>
      </c>
      <c r="K126" s="9">
        <f t="shared" si="9"/>
        <v>0</v>
      </c>
      <c r="L126" s="9">
        <v>66151374.390000001</v>
      </c>
      <c r="M126" s="9">
        <v>0</v>
      </c>
      <c r="N126" s="9">
        <f t="shared" si="10"/>
        <v>-66151374.390000001</v>
      </c>
      <c r="O126" s="10">
        <v>86</v>
      </c>
      <c r="P126" s="10">
        <v>0</v>
      </c>
      <c r="Q126" s="10">
        <f t="shared" si="11"/>
        <v>-86</v>
      </c>
    </row>
    <row r="127" spans="1:17">
      <c r="A127" s="3" t="s">
        <v>288</v>
      </c>
      <c r="B127" s="6" t="s">
        <v>13</v>
      </c>
      <c r="C127" s="3" t="s">
        <v>45</v>
      </c>
      <c r="D127" s="3" t="s">
        <v>125</v>
      </c>
      <c r="E127" s="3" t="s">
        <v>21</v>
      </c>
      <c r="F127" s="3" t="s">
        <v>21</v>
      </c>
      <c r="G127" s="3" t="s">
        <v>18</v>
      </c>
      <c r="H127" s="3" t="s">
        <v>18</v>
      </c>
      <c r="I127" s="9">
        <v>48484000</v>
      </c>
      <c r="J127" s="9">
        <v>48484000</v>
      </c>
      <c r="K127" s="9">
        <f t="shared" si="9"/>
        <v>0</v>
      </c>
      <c r="L127" s="9">
        <v>0</v>
      </c>
      <c r="M127" s="9">
        <v>0</v>
      </c>
      <c r="N127" s="9">
        <f t="shared" si="10"/>
        <v>0</v>
      </c>
      <c r="O127" s="10">
        <v>0</v>
      </c>
      <c r="P127" s="10">
        <v>0</v>
      </c>
      <c r="Q127" s="10">
        <f t="shared" si="11"/>
        <v>0</v>
      </c>
    </row>
    <row r="128" spans="1:17">
      <c r="A128" s="3" t="s">
        <v>289</v>
      </c>
      <c r="B128" s="6" t="s">
        <v>13</v>
      </c>
      <c r="C128" s="3" t="s">
        <v>45</v>
      </c>
      <c r="D128" s="3" t="s">
        <v>290</v>
      </c>
      <c r="E128" s="3" t="s">
        <v>21</v>
      </c>
      <c r="F128" s="3" t="s">
        <v>21</v>
      </c>
      <c r="G128" s="3" t="s">
        <v>18</v>
      </c>
      <c r="H128" s="3" t="s">
        <v>18</v>
      </c>
      <c r="I128" s="9">
        <v>14500000</v>
      </c>
      <c r="J128" s="9">
        <v>14500000</v>
      </c>
      <c r="K128" s="9">
        <f t="shared" si="9"/>
        <v>0</v>
      </c>
      <c r="L128" s="9">
        <v>0</v>
      </c>
      <c r="M128" s="9">
        <v>0</v>
      </c>
      <c r="N128" s="9">
        <f t="shared" si="10"/>
        <v>0</v>
      </c>
      <c r="O128" s="10">
        <v>0</v>
      </c>
      <c r="P128" s="10">
        <v>0</v>
      </c>
      <c r="Q128" s="10">
        <f t="shared" si="11"/>
        <v>0</v>
      </c>
    </row>
    <row r="129" spans="1:17" ht="54">
      <c r="A129" s="3" t="s">
        <v>291</v>
      </c>
      <c r="B129" s="6" t="s">
        <v>10</v>
      </c>
      <c r="C129" s="3" t="s">
        <v>212</v>
      </c>
      <c r="D129" s="3" t="s">
        <v>292</v>
      </c>
      <c r="E129" s="3" t="s">
        <v>21</v>
      </c>
      <c r="F129" s="3" t="s">
        <v>21</v>
      </c>
      <c r="G129" s="3" t="s">
        <v>22</v>
      </c>
      <c r="H129" s="3" t="s">
        <v>18</v>
      </c>
      <c r="I129" s="9">
        <v>140500000</v>
      </c>
      <c r="J129" s="9">
        <v>140500000</v>
      </c>
      <c r="K129" s="9">
        <f t="shared" si="9"/>
        <v>0</v>
      </c>
      <c r="L129" s="9">
        <v>108610218.84</v>
      </c>
      <c r="M129" s="9">
        <v>0</v>
      </c>
      <c r="N129" s="9">
        <f t="shared" si="10"/>
        <v>-108610218.84</v>
      </c>
      <c r="O129" s="10">
        <v>77</v>
      </c>
      <c r="P129" s="10">
        <v>0</v>
      </c>
      <c r="Q129" s="10">
        <f t="shared" si="11"/>
        <v>-77</v>
      </c>
    </row>
    <row r="130" spans="1:17">
      <c r="A130" s="3" t="s">
        <v>293</v>
      </c>
      <c r="B130" s="6" t="s">
        <v>13</v>
      </c>
      <c r="C130" s="3" t="s">
        <v>45</v>
      </c>
      <c r="D130" s="3" t="s">
        <v>294</v>
      </c>
      <c r="E130" s="3" t="s">
        <v>21</v>
      </c>
      <c r="F130" s="3" t="s">
        <v>21</v>
      </c>
      <c r="G130" s="3" t="s">
        <v>18</v>
      </c>
      <c r="H130" s="3" t="s">
        <v>18</v>
      </c>
      <c r="I130" s="9">
        <v>37500000</v>
      </c>
      <c r="J130" s="9">
        <v>37500000</v>
      </c>
      <c r="K130" s="9">
        <f t="shared" si="9"/>
        <v>0</v>
      </c>
      <c r="L130" s="9">
        <v>0</v>
      </c>
      <c r="M130" s="9">
        <v>0</v>
      </c>
      <c r="N130" s="9">
        <f t="shared" si="10"/>
        <v>0</v>
      </c>
      <c r="O130" s="10">
        <v>0</v>
      </c>
      <c r="P130" s="10">
        <v>0</v>
      </c>
      <c r="Q130" s="10">
        <f t="shared" si="11"/>
        <v>0</v>
      </c>
    </row>
    <row r="131" spans="1:17" ht="54">
      <c r="A131" s="3" t="s">
        <v>295</v>
      </c>
      <c r="B131" s="6" t="s">
        <v>13</v>
      </c>
      <c r="C131" s="3" t="s">
        <v>45</v>
      </c>
      <c r="D131" s="3" t="s">
        <v>296</v>
      </c>
      <c r="E131" s="3" t="s">
        <v>21</v>
      </c>
      <c r="F131" s="3" t="s">
        <v>21</v>
      </c>
      <c r="G131" s="3" t="s">
        <v>18</v>
      </c>
      <c r="H131" s="3" t="s">
        <v>18</v>
      </c>
      <c r="I131" s="9">
        <v>129600000</v>
      </c>
      <c r="J131" s="9">
        <v>129600000</v>
      </c>
      <c r="K131" s="9">
        <f t="shared" si="9"/>
        <v>0</v>
      </c>
      <c r="L131" s="9">
        <v>0</v>
      </c>
      <c r="M131" s="9">
        <v>0</v>
      </c>
      <c r="N131" s="9">
        <f t="shared" si="10"/>
        <v>0</v>
      </c>
      <c r="O131" s="10">
        <v>0</v>
      </c>
      <c r="P131" s="10">
        <v>0</v>
      </c>
      <c r="Q131" s="10">
        <f t="shared" si="11"/>
        <v>0</v>
      </c>
    </row>
    <row r="132" spans="1:17">
      <c r="A132" s="3" t="s">
        <v>297</v>
      </c>
      <c r="B132" s="6" t="s">
        <v>484</v>
      </c>
      <c r="C132" s="3" t="s">
        <v>93</v>
      </c>
      <c r="D132" s="3" t="s">
        <v>298</v>
      </c>
      <c r="E132" s="3" t="s">
        <v>21</v>
      </c>
      <c r="F132" s="3"/>
      <c r="G132" s="3" t="s">
        <v>18</v>
      </c>
      <c r="H132" s="3"/>
      <c r="I132" s="9">
        <v>193484000</v>
      </c>
      <c r="J132" s="9"/>
      <c r="K132" s="9" t="str">
        <f t="shared" si="9"/>
        <v/>
      </c>
      <c r="L132" s="9">
        <v>0</v>
      </c>
      <c r="M132" s="9"/>
      <c r="N132" s="9" t="str">
        <f t="shared" si="10"/>
        <v/>
      </c>
      <c r="O132" s="10">
        <v>0</v>
      </c>
      <c r="P132" s="10"/>
      <c r="Q132" s="10" t="str">
        <f t="shared" si="11"/>
        <v/>
      </c>
    </row>
    <row r="133" spans="1:17" ht="54">
      <c r="A133" s="3" t="s">
        <v>299</v>
      </c>
      <c r="B133" s="6" t="s">
        <v>10</v>
      </c>
      <c r="C133" s="3" t="s">
        <v>212</v>
      </c>
      <c r="D133" s="3" t="s">
        <v>300</v>
      </c>
      <c r="E133" s="3" t="s">
        <v>21</v>
      </c>
      <c r="F133" s="3" t="s">
        <v>21</v>
      </c>
      <c r="G133" s="3" t="s">
        <v>22</v>
      </c>
      <c r="H133" s="3" t="s">
        <v>18</v>
      </c>
      <c r="I133" s="9">
        <v>176040000</v>
      </c>
      <c r="J133" s="9">
        <v>176040000</v>
      </c>
      <c r="K133" s="9">
        <f t="shared" ref="K133:K162" si="12">IF(OR(I133="",J133=""),"",J133-I133)</f>
        <v>0</v>
      </c>
      <c r="L133" s="9">
        <v>112422793.56</v>
      </c>
      <c r="M133" s="9">
        <v>0</v>
      </c>
      <c r="N133" s="9">
        <f t="shared" ref="N133:N162" si="13">IF(OR(L133="",M133=""),"",M133-L133)</f>
        <v>-112422793.56</v>
      </c>
      <c r="O133" s="10">
        <v>64</v>
      </c>
      <c r="P133" s="10">
        <v>0</v>
      </c>
      <c r="Q133" s="10">
        <f t="shared" ref="Q133:Q162" si="14">IF(OR(O133="",P133=""),"",P133-O133)</f>
        <v>-64</v>
      </c>
    </row>
    <row r="134" spans="1:17">
      <c r="A134" s="3" t="s">
        <v>301</v>
      </c>
      <c r="B134" s="6" t="s">
        <v>13</v>
      </c>
      <c r="C134" s="3" t="s">
        <v>45</v>
      </c>
      <c r="D134" s="3" t="s">
        <v>302</v>
      </c>
      <c r="E134" s="3" t="s">
        <v>21</v>
      </c>
      <c r="F134" s="3" t="s">
        <v>21</v>
      </c>
      <c r="G134" s="3" t="s">
        <v>18</v>
      </c>
      <c r="H134" s="3" t="s">
        <v>18</v>
      </c>
      <c r="I134" s="9">
        <v>15000000</v>
      </c>
      <c r="J134" s="9">
        <v>15000000</v>
      </c>
      <c r="K134" s="9">
        <f t="shared" si="12"/>
        <v>0</v>
      </c>
      <c r="L134" s="9">
        <v>0</v>
      </c>
      <c r="M134" s="9">
        <v>0</v>
      </c>
      <c r="N134" s="9">
        <f t="shared" si="13"/>
        <v>0</v>
      </c>
      <c r="O134" s="10">
        <v>0</v>
      </c>
      <c r="P134" s="10">
        <v>0</v>
      </c>
      <c r="Q134" s="10">
        <f t="shared" si="14"/>
        <v>0</v>
      </c>
    </row>
    <row r="135" spans="1:17" ht="27">
      <c r="A135" s="3" t="s">
        <v>303</v>
      </c>
      <c r="B135" s="6" t="s">
        <v>10</v>
      </c>
      <c r="C135" s="3" t="s">
        <v>212</v>
      </c>
      <c r="D135" s="3" t="s">
        <v>304</v>
      </c>
      <c r="E135" s="3" t="s">
        <v>21</v>
      </c>
      <c r="F135" s="3" t="s">
        <v>21</v>
      </c>
      <c r="G135" s="3" t="s">
        <v>22</v>
      </c>
      <c r="H135" s="3" t="s">
        <v>18</v>
      </c>
      <c r="I135" s="9">
        <v>125000000</v>
      </c>
      <c r="J135" s="9">
        <v>125000000</v>
      </c>
      <c r="K135" s="9">
        <f t="shared" si="12"/>
        <v>0</v>
      </c>
      <c r="L135" s="9">
        <v>58581425.490000002</v>
      </c>
      <c r="M135" s="9">
        <v>0</v>
      </c>
      <c r="N135" s="9">
        <f t="shared" si="13"/>
        <v>-58581425.490000002</v>
      </c>
      <c r="O135" s="10">
        <v>47</v>
      </c>
      <c r="P135" s="10">
        <v>0</v>
      </c>
      <c r="Q135" s="10">
        <f t="shared" si="14"/>
        <v>-47</v>
      </c>
    </row>
    <row r="136" spans="1:17">
      <c r="A136" s="3" t="s">
        <v>305</v>
      </c>
      <c r="B136" s="6" t="s">
        <v>10</v>
      </c>
      <c r="C136" s="3" t="s">
        <v>80</v>
      </c>
      <c r="D136" s="3" t="s">
        <v>306</v>
      </c>
      <c r="E136" s="3" t="s">
        <v>21</v>
      </c>
      <c r="F136" s="3" t="s">
        <v>21</v>
      </c>
      <c r="G136" s="3" t="s">
        <v>18</v>
      </c>
      <c r="H136" s="3" t="s">
        <v>18</v>
      </c>
      <c r="I136" s="9">
        <v>158732000</v>
      </c>
      <c r="J136" s="9">
        <v>173000000</v>
      </c>
      <c r="K136" s="9">
        <f t="shared" si="12"/>
        <v>14268000</v>
      </c>
      <c r="L136" s="9">
        <v>0</v>
      </c>
      <c r="M136" s="9">
        <v>0</v>
      </c>
      <c r="N136" s="9">
        <f t="shared" si="13"/>
        <v>0</v>
      </c>
      <c r="O136" s="10">
        <v>0</v>
      </c>
      <c r="P136" s="10">
        <v>0</v>
      </c>
      <c r="Q136" s="10">
        <f t="shared" si="14"/>
        <v>0</v>
      </c>
    </row>
    <row r="137" spans="1:17">
      <c r="A137" s="3" t="s">
        <v>307</v>
      </c>
      <c r="B137" s="6" t="s">
        <v>13</v>
      </c>
      <c r="C137" s="3" t="s">
        <v>45</v>
      </c>
      <c r="D137" s="3" t="s">
        <v>308</v>
      </c>
      <c r="E137" s="3" t="s">
        <v>21</v>
      </c>
      <c r="F137" s="3" t="s">
        <v>21</v>
      </c>
      <c r="G137" s="3" t="s">
        <v>18</v>
      </c>
      <c r="H137" s="3" t="s">
        <v>18</v>
      </c>
      <c r="I137" s="9">
        <v>151470000</v>
      </c>
      <c r="J137" s="9">
        <v>151470000</v>
      </c>
      <c r="K137" s="9">
        <f t="shared" si="12"/>
        <v>0</v>
      </c>
      <c r="L137" s="9">
        <v>0</v>
      </c>
      <c r="M137" s="9">
        <v>0</v>
      </c>
      <c r="N137" s="9">
        <f t="shared" si="13"/>
        <v>0</v>
      </c>
      <c r="O137" s="10">
        <v>0</v>
      </c>
      <c r="P137" s="10">
        <v>0</v>
      </c>
      <c r="Q137" s="10">
        <f t="shared" si="14"/>
        <v>0</v>
      </c>
    </row>
    <row r="138" spans="1:17" ht="27">
      <c r="A138" s="3" t="s">
        <v>309</v>
      </c>
      <c r="B138" s="6" t="s">
        <v>10</v>
      </c>
      <c r="C138" s="3" t="s">
        <v>212</v>
      </c>
      <c r="D138" s="3" t="s">
        <v>310</v>
      </c>
      <c r="E138" s="3" t="s">
        <v>21</v>
      </c>
      <c r="F138" s="3" t="s">
        <v>21</v>
      </c>
      <c r="G138" s="3" t="s">
        <v>22</v>
      </c>
      <c r="H138" s="3" t="s">
        <v>18</v>
      </c>
      <c r="I138" s="9">
        <v>120950000</v>
      </c>
      <c r="J138" s="9">
        <v>120950000</v>
      </c>
      <c r="K138" s="9">
        <f t="shared" si="12"/>
        <v>0</v>
      </c>
      <c r="L138" s="9">
        <v>92935094.099999994</v>
      </c>
      <c r="M138" s="9">
        <v>0</v>
      </c>
      <c r="N138" s="9">
        <f t="shared" si="13"/>
        <v>-92935094.099999994</v>
      </c>
      <c r="O138" s="10">
        <v>77</v>
      </c>
      <c r="P138" s="10">
        <v>0</v>
      </c>
      <c r="Q138" s="10">
        <f t="shared" si="14"/>
        <v>-77</v>
      </c>
    </row>
    <row r="139" spans="1:17" ht="27">
      <c r="A139" s="3" t="s">
        <v>311</v>
      </c>
      <c r="B139" s="6" t="s">
        <v>10</v>
      </c>
      <c r="C139" s="3" t="s">
        <v>212</v>
      </c>
      <c r="D139" s="3" t="s">
        <v>312</v>
      </c>
      <c r="E139" s="3" t="s">
        <v>21</v>
      </c>
      <c r="F139" s="3" t="s">
        <v>21</v>
      </c>
      <c r="G139" s="3" t="s">
        <v>22</v>
      </c>
      <c r="H139" s="3" t="s">
        <v>18</v>
      </c>
      <c r="I139" s="9">
        <v>197046000</v>
      </c>
      <c r="J139" s="9">
        <v>197046000</v>
      </c>
      <c r="K139" s="9">
        <f t="shared" si="12"/>
        <v>0</v>
      </c>
      <c r="L139" s="9">
        <v>165834111</v>
      </c>
      <c r="M139" s="9">
        <v>0</v>
      </c>
      <c r="N139" s="9">
        <f t="shared" si="13"/>
        <v>-165834111</v>
      </c>
      <c r="O139" s="10">
        <v>84</v>
      </c>
      <c r="P139" s="10">
        <v>0</v>
      </c>
      <c r="Q139" s="10">
        <f t="shared" si="14"/>
        <v>-84</v>
      </c>
    </row>
    <row r="140" spans="1:17" ht="40.5">
      <c r="A140" s="3" t="s">
        <v>313</v>
      </c>
      <c r="B140" s="6" t="s">
        <v>13</v>
      </c>
      <c r="C140" s="3" t="s">
        <v>45</v>
      </c>
      <c r="D140" s="3" t="s">
        <v>314</v>
      </c>
      <c r="E140" s="3" t="s">
        <v>21</v>
      </c>
      <c r="F140" s="3" t="s">
        <v>21</v>
      </c>
      <c r="G140" s="3" t="s">
        <v>18</v>
      </c>
      <c r="H140" s="3" t="s">
        <v>18</v>
      </c>
      <c r="I140" s="9">
        <v>179046000</v>
      </c>
      <c r="J140" s="9">
        <v>179046000</v>
      </c>
      <c r="K140" s="9">
        <f t="shared" si="12"/>
        <v>0</v>
      </c>
      <c r="L140" s="9">
        <v>0</v>
      </c>
      <c r="M140" s="9">
        <v>0</v>
      </c>
      <c r="N140" s="9">
        <f t="shared" si="13"/>
        <v>0</v>
      </c>
      <c r="O140" s="10">
        <v>0</v>
      </c>
      <c r="P140" s="10">
        <v>0</v>
      </c>
      <c r="Q140" s="10">
        <f t="shared" si="14"/>
        <v>0</v>
      </c>
    </row>
    <row r="141" spans="1:17" ht="40.5">
      <c r="A141" s="3" t="s">
        <v>315</v>
      </c>
      <c r="B141" s="6" t="s">
        <v>10</v>
      </c>
      <c r="C141" s="3" t="s">
        <v>212</v>
      </c>
      <c r="D141" s="3" t="s">
        <v>316</v>
      </c>
      <c r="E141" s="3" t="s">
        <v>21</v>
      </c>
      <c r="F141" s="3" t="s">
        <v>21</v>
      </c>
      <c r="G141" s="3" t="s">
        <v>22</v>
      </c>
      <c r="H141" s="3" t="s">
        <v>18</v>
      </c>
      <c r="I141" s="9">
        <v>159046000</v>
      </c>
      <c r="J141" s="9">
        <v>159046000</v>
      </c>
      <c r="K141" s="9">
        <f t="shared" si="12"/>
        <v>0</v>
      </c>
      <c r="L141" s="9">
        <v>134058659.37</v>
      </c>
      <c r="M141" s="9">
        <v>0</v>
      </c>
      <c r="N141" s="9">
        <f t="shared" si="13"/>
        <v>-134058659.37</v>
      </c>
      <c r="O141" s="10">
        <v>84</v>
      </c>
      <c r="P141" s="10">
        <v>0</v>
      </c>
      <c r="Q141" s="10">
        <f t="shared" si="14"/>
        <v>-84</v>
      </c>
    </row>
    <row r="142" spans="1:17">
      <c r="A142" s="3" t="s">
        <v>317</v>
      </c>
      <c r="B142" s="6" t="s">
        <v>13</v>
      </c>
      <c r="C142" s="3" t="s">
        <v>45</v>
      </c>
      <c r="D142" s="3" t="s">
        <v>318</v>
      </c>
      <c r="E142" s="3" t="s">
        <v>21</v>
      </c>
      <c r="F142" s="3" t="s">
        <v>21</v>
      </c>
      <c r="G142" s="3" t="s">
        <v>18</v>
      </c>
      <c r="H142" s="3" t="s">
        <v>18</v>
      </c>
      <c r="I142" s="9">
        <v>69650000</v>
      </c>
      <c r="J142" s="9">
        <v>69650000</v>
      </c>
      <c r="K142" s="9">
        <f t="shared" si="12"/>
        <v>0</v>
      </c>
      <c r="L142" s="9">
        <v>0</v>
      </c>
      <c r="M142" s="9">
        <v>0</v>
      </c>
      <c r="N142" s="9">
        <f t="shared" si="13"/>
        <v>0</v>
      </c>
      <c r="O142" s="10">
        <v>0</v>
      </c>
      <c r="P142" s="10">
        <v>0</v>
      </c>
      <c r="Q142" s="10">
        <f t="shared" si="14"/>
        <v>0</v>
      </c>
    </row>
    <row r="143" spans="1:17">
      <c r="A143" s="3" t="s">
        <v>319</v>
      </c>
      <c r="B143" s="6" t="s">
        <v>13</v>
      </c>
      <c r="C143" s="3" t="s">
        <v>45</v>
      </c>
      <c r="D143" s="3" t="s">
        <v>320</v>
      </c>
      <c r="E143" s="3" t="s">
        <v>19</v>
      </c>
      <c r="F143" s="3" t="s">
        <v>19</v>
      </c>
      <c r="G143" s="3" t="s">
        <v>20</v>
      </c>
      <c r="H143" s="3" t="s">
        <v>20</v>
      </c>
      <c r="I143" s="9">
        <v>218560000</v>
      </c>
      <c r="J143" s="9">
        <v>218560000</v>
      </c>
      <c r="K143" s="9">
        <f t="shared" si="12"/>
        <v>0</v>
      </c>
      <c r="L143" s="9">
        <v>217661400</v>
      </c>
      <c r="M143" s="9">
        <v>217661400</v>
      </c>
      <c r="N143" s="9">
        <f t="shared" si="13"/>
        <v>0</v>
      </c>
      <c r="O143" s="10">
        <v>100</v>
      </c>
      <c r="P143" s="10">
        <v>100</v>
      </c>
      <c r="Q143" s="10">
        <f t="shared" si="14"/>
        <v>0</v>
      </c>
    </row>
    <row r="144" spans="1:17">
      <c r="A144" s="3" t="s">
        <v>321</v>
      </c>
      <c r="B144" s="6" t="s">
        <v>13</v>
      </c>
      <c r="C144" s="3" t="s">
        <v>45</v>
      </c>
      <c r="D144" s="3" t="s">
        <v>322</v>
      </c>
      <c r="E144" s="3" t="s">
        <v>19</v>
      </c>
      <c r="F144" s="3" t="s">
        <v>19</v>
      </c>
      <c r="G144" s="3" t="s">
        <v>20</v>
      </c>
      <c r="H144" s="3" t="s">
        <v>20</v>
      </c>
      <c r="I144" s="9">
        <v>86080000</v>
      </c>
      <c r="J144" s="9">
        <v>86080000</v>
      </c>
      <c r="K144" s="9">
        <f t="shared" si="12"/>
        <v>0</v>
      </c>
      <c r="L144" s="9">
        <v>96386400</v>
      </c>
      <c r="M144" s="9">
        <v>96386400</v>
      </c>
      <c r="N144" s="9">
        <f t="shared" si="13"/>
        <v>0</v>
      </c>
      <c r="O144" s="10">
        <v>112</v>
      </c>
      <c r="P144" s="10">
        <v>112</v>
      </c>
      <c r="Q144" s="10">
        <f t="shared" si="14"/>
        <v>0</v>
      </c>
    </row>
    <row r="145" spans="1:17" ht="27">
      <c r="A145" s="3" t="s">
        <v>323</v>
      </c>
      <c r="B145" s="6" t="s">
        <v>13</v>
      </c>
      <c r="C145" s="3" t="s">
        <v>45</v>
      </c>
      <c r="D145" s="3" t="s">
        <v>324</v>
      </c>
      <c r="E145" s="3" t="s">
        <v>19</v>
      </c>
      <c r="F145" s="3" t="s">
        <v>19</v>
      </c>
      <c r="G145" s="3" t="s">
        <v>20</v>
      </c>
      <c r="H145" s="3" t="s">
        <v>20</v>
      </c>
      <c r="I145" s="9">
        <v>395840000</v>
      </c>
      <c r="J145" s="9">
        <v>395840000</v>
      </c>
      <c r="K145" s="9">
        <f t="shared" si="12"/>
        <v>0</v>
      </c>
      <c r="L145" s="9">
        <v>240966000</v>
      </c>
      <c r="M145" s="9">
        <v>240966000</v>
      </c>
      <c r="N145" s="9">
        <f t="shared" si="13"/>
        <v>0</v>
      </c>
      <c r="O145" s="10">
        <v>61</v>
      </c>
      <c r="P145" s="10">
        <v>61</v>
      </c>
      <c r="Q145" s="10">
        <f t="shared" si="14"/>
        <v>0</v>
      </c>
    </row>
    <row r="146" spans="1:17">
      <c r="A146" s="3" t="s">
        <v>325</v>
      </c>
      <c r="B146" s="6" t="s">
        <v>13</v>
      </c>
      <c r="C146" s="3" t="s">
        <v>45</v>
      </c>
      <c r="D146" s="3" t="s">
        <v>326</v>
      </c>
      <c r="E146" s="3" t="s">
        <v>19</v>
      </c>
      <c r="F146" s="3" t="s">
        <v>19</v>
      </c>
      <c r="G146" s="3" t="s">
        <v>20</v>
      </c>
      <c r="H146" s="3" t="s">
        <v>20</v>
      </c>
      <c r="I146" s="9">
        <v>405120000</v>
      </c>
      <c r="J146" s="9">
        <v>405120000</v>
      </c>
      <c r="K146" s="9">
        <f t="shared" si="12"/>
        <v>0</v>
      </c>
      <c r="L146" s="9">
        <v>226828800</v>
      </c>
      <c r="M146" s="9">
        <v>226828800</v>
      </c>
      <c r="N146" s="9">
        <f t="shared" si="13"/>
        <v>0</v>
      </c>
      <c r="O146" s="10">
        <v>56</v>
      </c>
      <c r="P146" s="10">
        <v>56</v>
      </c>
      <c r="Q146" s="10">
        <f t="shared" si="14"/>
        <v>0</v>
      </c>
    </row>
    <row r="147" spans="1:17">
      <c r="A147" s="3" t="s">
        <v>327</v>
      </c>
      <c r="B147" s="6" t="s">
        <v>13</v>
      </c>
      <c r="C147" s="3" t="s">
        <v>45</v>
      </c>
      <c r="D147" s="3" t="s">
        <v>328</v>
      </c>
      <c r="E147" s="3" t="s">
        <v>19</v>
      </c>
      <c r="F147" s="3" t="s">
        <v>19</v>
      </c>
      <c r="G147" s="3" t="s">
        <v>20</v>
      </c>
      <c r="H147" s="3" t="s">
        <v>20</v>
      </c>
      <c r="I147" s="9">
        <v>192000000</v>
      </c>
      <c r="J147" s="9">
        <v>192000000</v>
      </c>
      <c r="K147" s="9">
        <f t="shared" si="12"/>
        <v>0</v>
      </c>
      <c r="L147" s="9">
        <v>89595000</v>
      </c>
      <c r="M147" s="9">
        <v>89595000</v>
      </c>
      <c r="N147" s="9">
        <f t="shared" si="13"/>
        <v>0</v>
      </c>
      <c r="O147" s="10">
        <v>47</v>
      </c>
      <c r="P147" s="10">
        <v>47</v>
      </c>
      <c r="Q147" s="10">
        <f t="shared" si="14"/>
        <v>0</v>
      </c>
    </row>
    <row r="148" spans="1:17" ht="27">
      <c r="A148" s="3" t="s">
        <v>329</v>
      </c>
      <c r="B148" s="6" t="s">
        <v>13</v>
      </c>
      <c r="C148" s="3" t="s">
        <v>45</v>
      </c>
      <c r="D148" s="3" t="s">
        <v>330</v>
      </c>
      <c r="E148" s="3" t="s">
        <v>21</v>
      </c>
      <c r="F148" s="3" t="s">
        <v>21</v>
      </c>
      <c r="G148" s="3" t="s">
        <v>18</v>
      </c>
      <c r="H148" s="3" t="s">
        <v>18</v>
      </c>
      <c r="I148" s="9">
        <v>45600000</v>
      </c>
      <c r="J148" s="9">
        <v>45600000</v>
      </c>
      <c r="K148" s="9">
        <f t="shared" si="12"/>
        <v>0</v>
      </c>
      <c r="L148" s="9">
        <v>0</v>
      </c>
      <c r="M148" s="9">
        <v>0</v>
      </c>
      <c r="N148" s="9">
        <f t="shared" si="13"/>
        <v>0</v>
      </c>
      <c r="O148" s="10">
        <v>0</v>
      </c>
      <c r="P148" s="10">
        <v>0</v>
      </c>
      <c r="Q148" s="10">
        <f t="shared" si="14"/>
        <v>0</v>
      </c>
    </row>
    <row r="149" spans="1:17">
      <c r="A149" s="3" t="s">
        <v>331</v>
      </c>
      <c r="B149" s="6" t="s">
        <v>13</v>
      </c>
      <c r="C149" s="3" t="s">
        <v>45</v>
      </c>
      <c r="D149" s="3" t="s">
        <v>332</v>
      </c>
      <c r="E149" s="3" t="s">
        <v>19</v>
      </c>
      <c r="F149" s="3" t="s">
        <v>19</v>
      </c>
      <c r="G149" s="3" t="s">
        <v>22</v>
      </c>
      <c r="H149" s="3" t="s">
        <v>22</v>
      </c>
      <c r="I149" s="9">
        <v>33600000</v>
      </c>
      <c r="J149" s="9">
        <v>33600000</v>
      </c>
      <c r="K149" s="9">
        <f t="shared" si="12"/>
        <v>0</v>
      </c>
      <c r="L149" s="9">
        <v>27984000</v>
      </c>
      <c r="M149" s="9">
        <v>27984000</v>
      </c>
      <c r="N149" s="9">
        <f t="shared" si="13"/>
        <v>0</v>
      </c>
      <c r="O149" s="10">
        <v>83</v>
      </c>
      <c r="P149" s="10">
        <v>83</v>
      </c>
      <c r="Q149" s="10">
        <f t="shared" si="14"/>
        <v>0</v>
      </c>
    </row>
    <row r="150" spans="1:17" ht="27">
      <c r="A150" s="3" t="s">
        <v>333</v>
      </c>
      <c r="B150" s="6" t="s">
        <v>10</v>
      </c>
      <c r="C150" s="3" t="s">
        <v>212</v>
      </c>
      <c r="D150" s="3" t="s">
        <v>334</v>
      </c>
      <c r="E150" s="3" t="s">
        <v>19</v>
      </c>
      <c r="F150" s="3" t="s">
        <v>19</v>
      </c>
      <c r="G150" s="3" t="s">
        <v>18</v>
      </c>
      <c r="H150" s="3" t="s">
        <v>20</v>
      </c>
      <c r="I150" s="9">
        <v>117600000</v>
      </c>
      <c r="J150" s="9">
        <v>117600000</v>
      </c>
      <c r="K150" s="9">
        <f t="shared" si="12"/>
        <v>0</v>
      </c>
      <c r="L150" s="9">
        <v>0</v>
      </c>
      <c r="M150" s="9">
        <v>95145559</v>
      </c>
      <c r="N150" s="9">
        <f t="shared" si="13"/>
        <v>95145559</v>
      </c>
      <c r="O150" s="10">
        <v>0</v>
      </c>
      <c r="P150" s="10">
        <v>81</v>
      </c>
      <c r="Q150" s="10">
        <f t="shared" si="14"/>
        <v>81</v>
      </c>
    </row>
    <row r="151" spans="1:17" ht="27">
      <c r="A151" s="3" t="s">
        <v>335</v>
      </c>
      <c r="B151" s="6" t="s">
        <v>13</v>
      </c>
      <c r="C151" s="3" t="s">
        <v>45</v>
      </c>
      <c r="D151" s="3" t="s">
        <v>336</v>
      </c>
      <c r="E151" s="3" t="s">
        <v>19</v>
      </c>
      <c r="F151" s="3" t="s">
        <v>19</v>
      </c>
      <c r="G151" s="3" t="s">
        <v>20</v>
      </c>
      <c r="H151" s="3" t="s">
        <v>20</v>
      </c>
      <c r="I151" s="9">
        <v>79200000</v>
      </c>
      <c r="J151" s="9">
        <v>79200000</v>
      </c>
      <c r="K151" s="9">
        <f t="shared" si="12"/>
        <v>0</v>
      </c>
      <c r="L151" s="9">
        <v>78672449</v>
      </c>
      <c r="M151" s="9">
        <v>78672449</v>
      </c>
      <c r="N151" s="9">
        <f t="shared" si="13"/>
        <v>0</v>
      </c>
      <c r="O151" s="10">
        <v>99</v>
      </c>
      <c r="P151" s="10">
        <v>99</v>
      </c>
      <c r="Q151" s="10">
        <f t="shared" si="14"/>
        <v>0</v>
      </c>
    </row>
    <row r="152" spans="1:17" ht="27">
      <c r="A152" s="3" t="s">
        <v>337</v>
      </c>
      <c r="B152" s="6" t="s">
        <v>13</v>
      </c>
      <c r="C152" s="3" t="s">
        <v>45</v>
      </c>
      <c r="D152" s="3" t="s">
        <v>338</v>
      </c>
      <c r="E152" s="3" t="s">
        <v>21</v>
      </c>
      <c r="F152" s="3" t="s">
        <v>21</v>
      </c>
      <c r="G152" s="3" t="s">
        <v>18</v>
      </c>
      <c r="H152" s="3" t="s">
        <v>18</v>
      </c>
      <c r="I152" s="9">
        <v>28450000</v>
      </c>
      <c r="J152" s="9">
        <v>28450000</v>
      </c>
      <c r="K152" s="9">
        <f t="shared" si="12"/>
        <v>0</v>
      </c>
      <c r="L152" s="9">
        <v>0</v>
      </c>
      <c r="M152" s="9">
        <v>0</v>
      </c>
      <c r="N152" s="9">
        <f t="shared" si="13"/>
        <v>0</v>
      </c>
      <c r="O152" s="10">
        <v>0</v>
      </c>
      <c r="P152" s="10">
        <v>0</v>
      </c>
      <c r="Q152" s="10">
        <f t="shared" si="14"/>
        <v>0</v>
      </c>
    </row>
    <row r="153" spans="1:17" ht="27">
      <c r="A153" s="3" t="s">
        <v>339</v>
      </c>
      <c r="B153" s="6" t="s">
        <v>10</v>
      </c>
      <c r="C153" s="3" t="s">
        <v>340</v>
      </c>
      <c r="D153" s="3" t="s">
        <v>341</v>
      </c>
      <c r="E153" s="3" t="s">
        <v>19</v>
      </c>
      <c r="F153" s="3" t="s">
        <v>19</v>
      </c>
      <c r="G153" s="3" t="s">
        <v>20</v>
      </c>
      <c r="H153" s="3" t="s">
        <v>20</v>
      </c>
      <c r="I153" s="9">
        <v>100904000</v>
      </c>
      <c r="J153" s="9">
        <v>100904000</v>
      </c>
      <c r="K153" s="9">
        <f t="shared" si="12"/>
        <v>0</v>
      </c>
      <c r="L153" s="9">
        <v>37296000</v>
      </c>
      <c r="M153" s="9">
        <v>37296000</v>
      </c>
      <c r="N153" s="9">
        <f t="shared" si="13"/>
        <v>0</v>
      </c>
      <c r="O153" s="10">
        <v>37</v>
      </c>
      <c r="P153" s="10">
        <v>37</v>
      </c>
      <c r="Q153" s="10">
        <f t="shared" si="14"/>
        <v>0</v>
      </c>
    </row>
    <row r="154" spans="1:17">
      <c r="A154" s="3" t="s">
        <v>342</v>
      </c>
      <c r="B154" s="6" t="s">
        <v>482</v>
      </c>
      <c r="C154" s="3" t="s">
        <v>343</v>
      </c>
      <c r="D154" s="3" t="s">
        <v>344</v>
      </c>
      <c r="E154" s="3"/>
      <c r="F154" s="3" t="s">
        <v>21</v>
      </c>
      <c r="G154" s="3"/>
      <c r="H154" s="3" t="s">
        <v>18</v>
      </c>
      <c r="I154" s="9"/>
      <c r="J154" s="9">
        <v>59259000</v>
      </c>
      <c r="K154" s="9" t="str">
        <f t="shared" si="12"/>
        <v/>
      </c>
      <c r="L154" s="9"/>
      <c r="M154" s="9">
        <v>0</v>
      </c>
      <c r="N154" s="9" t="str">
        <f t="shared" si="13"/>
        <v/>
      </c>
      <c r="O154" s="10"/>
      <c r="P154" s="10">
        <v>0</v>
      </c>
      <c r="Q154" s="10" t="str">
        <f t="shared" si="14"/>
        <v/>
      </c>
    </row>
    <row r="155" spans="1:17" ht="27">
      <c r="A155" s="3" t="s">
        <v>345</v>
      </c>
      <c r="B155" s="6" t="s">
        <v>482</v>
      </c>
      <c r="C155" s="3" t="s">
        <v>343</v>
      </c>
      <c r="D155" s="3" t="s">
        <v>346</v>
      </c>
      <c r="E155" s="3"/>
      <c r="F155" s="3" t="s">
        <v>21</v>
      </c>
      <c r="G155" s="3"/>
      <c r="H155" s="3" t="s">
        <v>18</v>
      </c>
      <c r="I155" s="9"/>
      <c r="J155" s="9">
        <v>37475000</v>
      </c>
      <c r="K155" s="9" t="str">
        <f t="shared" si="12"/>
        <v/>
      </c>
      <c r="L155" s="9"/>
      <c r="M155" s="9">
        <v>0</v>
      </c>
      <c r="N155" s="9" t="str">
        <f t="shared" si="13"/>
        <v/>
      </c>
      <c r="O155" s="10"/>
      <c r="P155" s="10">
        <v>0</v>
      </c>
      <c r="Q155" s="10" t="str">
        <f t="shared" si="14"/>
        <v/>
      </c>
    </row>
    <row r="156" spans="1:17" ht="27">
      <c r="A156" s="3" t="s">
        <v>347</v>
      </c>
      <c r="B156" s="6" t="s">
        <v>482</v>
      </c>
      <c r="C156" s="3" t="s">
        <v>343</v>
      </c>
      <c r="D156" s="3" t="s">
        <v>348</v>
      </c>
      <c r="E156" s="3"/>
      <c r="F156" s="3" t="s">
        <v>21</v>
      </c>
      <c r="G156" s="3"/>
      <c r="H156" s="3" t="s">
        <v>18</v>
      </c>
      <c r="I156" s="9"/>
      <c r="J156" s="9">
        <v>97500000</v>
      </c>
      <c r="K156" s="9" t="str">
        <f t="shared" si="12"/>
        <v/>
      </c>
      <c r="L156" s="9"/>
      <c r="M156" s="9">
        <v>0</v>
      </c>
      <c r="N156" s="9" t="str">
        <f t="shared" si="13"/>
        <v/>
      </c>
      <c r="O156" s="10"/>
      <c r="P156" s="10">
        <v>0</v>
      </c>
      <c r="Q156" s="10" t="str">
        <f t="shared" si="14"/>
        <v/>
      </c>
    </row>
    <row r="157" spans="1:17">
      <c r="A157" s="3" t="s">
        <v>349</v>
      </c>
      <c r="B157" s="6" t="s">
        <v>482</v>
      </c>
      <c r="C157" s="3" t="s">
        <v>343</v>
      </c>
      <c r="D157" s="3" t="s">
        <v>350</v>
      </c>
      <c r="E157" s="3"/>
      <c r="F157" s="3" t="s">
        <v>21</v>
      </c>
      <c r="G157" s="3"/>
      <c r="H157" s="3" t="s">
        <v>18</v>
      </c>
      <c r="I157" s="9"/>
      <c r="J157" s="9">
        <v>10410000</v>
      </c>
      <c r="K157" s="9" t="str">
        <f t="shared" si="12"/>
        <v/>
      </c>
      <c r="L157" s="9"/>
      <c r="M157" s="9">
        <v>0</v>
      </c>
      <c r="N157" s="9" t="str">
        <f t="shared" si="13"/>
        <v/>
      </c>
      <c r="O157" s="10"/>
      <c r="P157" s="10">
        <v>0</v>
      </c>
      <c r="Q157" s="10" t="str">
        <f t="shared" si="14"/>
        <v/>
      </c>
    </row>
    <row r="158" spans="1:17" ht="27">
      <c r="A158" s="3" t="s">
        <v>351</v>
      </c>
      <c r="B158" s="6" t="s">
        <v>482</v>
      </c>
      <c r="C158" s="3" t="s">
        <v>343</v>
      </c>
      <c r="D158" s="3" t="s">
        <v>352</v>
      </c>
      <c r="E158" s="3"/>
      <c r="F158" s="3" t="s">
        <v>21</v>
      </c>
      <c r="G158" s="3"/>
      <c r="H158" s="3" t="s">
        <v>18</v>
      </c>
      <c r="I158" s="9"/>
      <c r="J158" s="9">
        <v>25800000</v>
      </c>
      <c r="K158" s="9" t="str">
        <f t="shared" si="12"/>
        <v/>
      </c>
      <c r="L158" s="9"/>
      <c r="M158" s="9">
        <v>0</v>
      </c>
      <c r="N158" s="9" t="str">
        <f t="shared" si="13"/>
        <v/>
      </c>
      <c r="O158" s="10"/>
      <c r="P158" s="10">
        <v>0</v>
      </c>
      <c r="Q158" s="10" t="str">
        <f t="shared" si="14"/>
        <v/>
      </c>
    </row>
    <row r="159" spans="1:17" ht="27">
      <c r="A159" s="3" t="s">
        <v>353</v>
      </c>
      <c r="B159" s="6" t="s">
        <v>482</v>
      </c>
      <c r="C159" s="3" t="s">
        <v>343</v>
      </c>
      <c r="D159" s="3" t="s">
        <v>354</v>
      </c>
      <c r="E159" s="3"/>
      <c r="F159" s="3" t="s">
        <v>21</v>
      </c>
      <c r="G159" s="3"/>
      <c r="H159" s="3" t="s">
        <v>18</v>
      </c>
      <c r="I159" s="9"/>
      <c r="J159" s="9">
        <v>28000000</v>
      </c>
      <c r="K159" s="9" t="str">
        <f t="shared" si="12"/>
        <v/>
      </c>
      <c r="L159" s="9"/>
      <c r="M159" s="9">
        <v>0</v>
      </c>
      <c r="N159" s="9" t="str">
        <f t="shared" si="13"/>
        <v/>
      </c>
      <c r="O159" s="10"/>
      <c r="P159" s="10">
        <v>0</v>
      </c>
      <c r="Q159" s="10" t="str">
        <f t="shared" si="14"/>
        <v/>
      </c>
    </row>
    <row r="160" spans="1:17">
      <c r="A160" s="3" t="s">
        <v>355</v>
      </c>
      <c r="B160" s="6" t="s">
        <v>482</v>
      </c>
      <c r="C160" s="3" t="s">
        <v>343</v>
      </c>
      <c r="D160" s="3" t="s">
        <v>356</v>
      </c>
      <c r="E160" s="3"/>
      <c r="F160" s="3" t="s">
        <v>21</v>
      </c>
      <c r="G160" s="3"/>
      <c r="H160" s="3" t="s">
        <v>18</v>
      </c>
      <c r="I160" s="9"/>
      <c r="J160" s="9">
        <v>15200000</v>
      </c>
      <c r="K160" s="9" t="str">
        <f t="shared" si="12"/>
        <v/>
      </c>
      <c r="L160" s="9"/>
      <c r="M160" s="9">
        <v>0</v>
      </c>
      <c r="N160" s="9" t="str">
        <f t="shared" si="13"/>
        <v/>
      </c>
      <c r="O160" s="10"/>
      <c r="P160" s="10">
        <v>0</v>
      </c>
      <c r="Q160" s="10" t="str">
        <f t="shared" si="14"/>
        <v/>
      </c>
    </row>
    <row r="161" spans="1:17">
      <c r="A161" s="3" t="s">
        <v>357</v>
      </c>
      <c r="B161" s="6" t="s">
        <v>482</v>
      </c>
      <c r="C161" s="3" t="s">
        <v>343</v>
      </c>
      <c r="D161" s="3" t="s">
        <v>358</v>
      </c>
      <c r="E161" s="3"/>
      <c r="F161" s="3" t="s">
        <v>21</v>
      </c>
      <c r="G161" s="3"/>
      <c r="H161" s="3" t="s">
        <v>18</v>
      </c>
      <c r="I161" s="9"/>
      <c r="J161" s="9">
        <v>2000000</v>
      </c>
      <c r="K161" s="9" t="str">
        <f t="shared" si="12"/>
        <v/>
      </c>
      <c r="L161" s="9"/>
      <c r="M161" s="9">
        <v>0</v>
      </c>
      <c r="N161" s="9" t="str">
        <f t="shared" si="13"/>
        <v/>
      </c>
      <c r="O161" s="10"/>
      <c r="P161" s="10">
        <v>0</v>
      </c>
      <c r="Q161" s="10" t="str">
        <f t="shared" si="14"/>
        <v/>
      </c>
    </row>
    <row r="162" spans="1:17" ht="27">
      <c r="A162" s="3" t="s">
        <v>359</v>
      </c>
      <c r="B162" s="6" t="s">
        <v>482</v>
      </c>
      <c r="C162" s="3" t="s">
        <v>343</v>
      </c>
      <c r="D162" s="3" t="s">
        <v>360</v>
      </c>
      <c r="E162" s="3"/>
      <c r="F162" s="3" t="s">
        <v>21</v>
      </c>
      <c r="G162" s="3"/>
      <c r="H162" s="3" t="s">
        <v>18</v>
      </c>
      <c r="I162" s="9"/>
      <c r="J162" s="9">
        <v>64546000</v>
      </c>
      <c r="K162" s="9" t="str">
        <f t="shared" si="12"/>
        <v/>
      </c>
      <c r="L162" s="9"/>
      <c r="M162" s="9">
        <v>0</v>
      </c>
      <c r="N162" s="9" t="str">
        <f t="shared" si="13"/>
        <v/>
      </c>
      <c r="O162" s="10"/>
      <c r="P162" s="10">
        <v>0</v>
      </c>
      <c r="Q162" s="10" t="str">
        <f t="shared" si="14"/>
        <v/>
      </c>
    </row>
  </sheetData>
  <mergeCells count="2">
    <mergeCell ref="A1:Q1"/>
    <mergeCell ref="A2:Q2"/>
  </mergeCells>
  <conditionalFormatting sqref="B5:B162">
    <cfRule type="expression" dxfId="9" priority="1">
      <formula>B5="BARU DI 14 AGU"</formula>
    </cfRule>
    <cfRule type="expression" dxfId="8" priority="2">
      <formula>B5="TIDAK MUNCUL DI 14 AGU"</formula>
    </cfRule>
    <cfRule type="expression" dxfId="7" priority="3">
      <formula>B5="BERUBAH"</formula>
    </cfRule>
    <cfRule type="expression" dxfId="6" priority="4">
      <formula>B5="TETAP"</formula>
    </cfRule>
  </conditionalFormatting>
  <conditionalFormatting sqref="K5:K162">
    <cfRule type="expression" dxfId="5" priority="5">
      <formula>K5&lt;0</formula>
    </cfRule>
  </conditionalFormatting>
  <conditionalFormatting sqref="N5:N162">
    <cfRule type="expression" dxfId="4" priority="6">
      <formula>N5&lt;0</formula>
    </cfRule>
  </conditionalFormatting>
  <conditionalFormatting sqref="Q5:Q162">
    <cfRule type="expression" dxfId="3" priority="7">
      <formula>Q5&lt;0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6"/>
  <sheetViews>
    <sheetView tabSelected="1" topLeftCell="D1" workbookViewId="0">
      <selection activeCell="G4" sqref="G4"/>
    </sheetView>
  </sheetViews>
  <sheetFormatPr defaultRowHeight="13.5"/>
  <cols>
    <col min="1" max="1" width="13" style="2" customWidth="1"/>
    <col min="2" max="2" width="24.8125" style="2" customWidth="1"/>
    <col min="3" max="3" width="34" style="2" customWidth="1"/>
    <col min="4" max="4" width="48" style="2" customWidth="1"/>
    <col min="5" max="6" width="20" style="2" customWidth="1"/>
    <col min="7" max="8" width="22" style="2" customWidth="1"/>
    <col min="9" max="10" width="18" style="2" customWidth="1"/>
    <col min="11" max="11" width="17" style="2" customWidth="1"/>
    <col min="12" max="13" width="20" style="2" customWidth="1"/>
    <col min="14" max="14" width="19" style="2" customWidth="1"/>
    <col min="15" max="17" width="18" style="2" customWidth="1"/>
    <col min="18" max="16384" width="9" style="2"/>
  </cols>
  <sheetData>
    <row r="1" spans="1:17" ht="17.649999999999999">
      <c r="A1" s="20" t="s">
        <v>361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3.9">
      <c r="A2" s="17" t="s">
        <v>480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4" spans="1:17" ht="27.75">
      <c r="A4" s="1" t="s">
        <v>33</v>
      </c>
      <c r="B4" s="1" t="s">
        <v>4</v>
      </c>
      <c r="C4" s="1" t="s">
        <v>34</v>
      </c>
      <c r="D4" s="1" t="s">
        <v>35</v>
      </c>
      <c r="E4" s="1" t="s">
        <v>36</v>
      </c>
      <c r="F4" s="1" t="s">
        <v>488</v>
      </c>
      <c r="G4" s="1" t="s">
        <v>37</v>
      </c>
      <c r="H4" s="1" t="s">
        <v>489</v>
      </c>
      <c r="I4" s="1" t="s">
        <v>38</v>
      </c>
      <c r="J4" s="1" t="s">
        <v>490</v>
      </c>
      <c r="K4" s="1" t="s">
        <v>39</v>
      </c>
      <c r="L4" s="1" t="s">
        <v>40</v>
      </c>
      <c r="M4" s="1" t="s">
        <v>491</v>
      </c>
      <c r="N4" s="1" t="s">
        <v>41</v>
      </c>
      <c r="O4" s="1" t="s">
        <v>42</v>
      </c>
      <c r="P4" s="1" t="s">
        <v>492</v>
      </c>
      <c r="Q4" s="1" t="s">
        <v>43</v>
      </c>
    </row>
    <row r="5" spans="1:17" hidden="1">
      <c r="A5" s="3" t="s">
        <v>342</v>
      </c>
      <c r="B5" s="3" t="s">
        <v>482</v>
      </c>
      <c r="C5" s="3" t="s">
        <v>343</v>
      </c>
      <c r="D5" s="3" t="s">
        <v>344</v>
      </c>
      <c r="E5" s="3"/>
      <c r="F5" s="3" t="s">
        <v>21</v>
      </c>
      <c r="G5" s="3"/>
      <c r="H5" s="3" t="s">
        <v>18</v>
      </c>
      <c r="I5" s="9"/>
      <c r="J5" s="9">
        <v>59259000</v>
      </c>
      <c r="K5" s="9" t="str">
        <f t="shared" ref="K5:K36" si="0">IF(OR(I5="",J5=""),"",J5-I5)</f>
        <v/>
      </c>
      <c r="L5" s="9"/>
      <c r="M5" s="9">
        <v>0</v>
      </c>
      <c r="N5" s="9" t="str">
        <f t="shared" ref="N5:N36" si="1">IF(OR(L5="",M5=""),"",M5-L5)</f>
        <v/>
      </c>
      <c r="O5" s="10"/>
      <c r="P5" s="10">
        <v>0</v>
      </c>
      <c r="Q5" s="10" t="str">
        <f t="shared" ref="Q5:Q36" si="2">IF(OR(O5="",P5=""),"",P5-O5)</f>
        <v/>
      </c>
    </row>
    <row r="6" spans="1:17" ht="27" hidden="1">
      <c r="A6" s="3" t="s">
        <v>345</v>
      </c>
      <c r="B6" s="3" t="s">
        <v>482</v>
      </c>
      <c r="C6" s="3" t="s">
        <v>343</v>
      </c>
      <c r="D6" s="3" t="s">
        <v>346</v>
      </c>
      <c r="E6" s="3"/>
      <c r="F6" s="3" t="s">
        <v>21</v>
      </c>
      <c r="G6" s="3"/>
      <c r="H6" s="3" t="s">
        <v>18</v>
      </c>
      <c r="I6" s="9"/>
      <c r="J6" s="9">
        <v>37475000</v>
      </c>
      <c r="K6" s="9" t="str">
        <f t="shared" si="0"/>
        <v/>
      </c>
      <c r="L6" s="9"/>
      <c r="M6" s="9">
        <v>0</v>
      </c>
      <c r="N6" s="9" t="str">
        <f t="shared" si="1"/>
        <v/>
      </c>
      <c r="O6" s="10"/>
      <c r="P6" s="10">
        <v>0</v>
      </c>
      <c r="Q6" s="10" t="str">
        <f t="shared" si="2"/>
        <v/>
      </c>
    </row>
    <row r="7" spans="1:17" ht="27" hidden="1">
      <c r="A7" s="3" t="s">
        <v>347</v>
      </c>
      <c r="B7" s="3" t="s">
        <v>482</v>
      </c>
      <c r="C7" s="3" t="s">
        <v>343</v>
      </c>
      <c r="D7" s="3" t="s">
        <v>348</v>
      </c>
      <c r="E7" s="3"/>
      <c r="F7" s="3" t="s">
        <v>21</v>
      </c>
      <c r="G7" s="3"/>
      <c r="H7" s="3" t="s">
        <v>18</v>
      </c>
      <c r="I7" s="9"/>
      <c r="J7" s="9">
        <v>97500000</v>
      </c>
      <c r="K7" s="9" t="str">
        <f t="shared" si="0"/>
        <v/>
      </c>
      <c r="L7" s="9"/>
      <c r="M7" s="9">
        <v>0</v>
      </c>
      <c r="N7" s="9" t="str">
        <f t="shared" si="1"/>
        <v/>
      </c>
      <c r="O7" s="10"/>
      <c r="P7" s="10">
        <v>0</v>
      </c>
      <c r="Q7" s="10" t="str">
        <f t="shared" si="2"/>
        <v/>
      </c>
    </row>
    <row r="8" spans="1:17" hidden="1">
      <c r="A8" s="3" t="s">
        <v>349</v>
      </c>
      <c r="B8" s="3" t="s">
        <v>482</v>
      </c>
      <c r="C8" s="3" t="s">
        <v>343</v>
      </c>
      <c r="D8" s="3" t="s">
        <v>350</v>
      </c>
      <c r="E8" s="3"/>
      <c r="F8" s="3" t="s">
        <v>21</v>
      </c>
      <c r="G8" s="3"/>
      <c r="H8" s="3" t="s">
        <v>18</v>
      </c>
      <c r="I8" s="9"/>
      <c r="J8" s="9">
        <v>10410000</v>
      </c>
      <c r="K8" s="9" t="str">
        <f t="shared" si="0"/>
        <v/>
      </c>
      <c r="L8" s="9"/>
      <c r="M8" s="9">
        <v>0</v>
      </c>
      <c r="N8" s="9" t="str">
        <f t="shared" si="1"/>
        <v/>
      </c>
      <c r="O8" s="10"/>
      <c r="P8" s="10">
        <v>0</v>
      </c>
      <c r="Q8" s="10" t="str">
        <f t="shared" si="2"/>
        <v/>
      </c>
    </row>
    <row r="9" spans="1:17" ht="27" hidden="1">
      <c r="A9" s="3" t="s">
        <v>351</v>
      </c>
      <c r="B9" s="3" t="s">
        <v>482</v>
      </c>
      <c r="C9" s="3" t="s">
        <v>343</v>
      </c>
      <c r="D9" s="3" t="s">
        <v>352</v>
      </c>
      <c r="E9" s="3"/>
      <c r="F9" s="3" t="s">
        <v>21</v>
      </c>
      <c r="G9" s="3"/>
      <c r="H9" s="3" t="s">
        <v>18</v>
      </c>
      <c r="I9" s="9"/>
      <c r="J9" s="9">
        <v>25800000</v>
      </c>
      <c r="K9" s="9" t="str">
        <f t="shared" si="0"/>
        <v/>
      </c>
      <c r="L9" s="9"/>
      <c r="M9" s="9">
        <v>0</v>
      </c>
      <c r="N9" s="9" t="str">
        <f t="shared" si="1"/>
        <v/>
      </c>
      <c r="O9" s="10"/>
      <c r="P9" s="10">
        <v>0</v>
      </c>
      <c r="Q9" s="10" t="str">
        <f t="shared" si="2"/>
        <v/>
      </c>
    </row>
    <row r="10" spans="1:17" ht="27" hidden="1">
      <c r="A10" s="3" t="s">
        <v>353</v>
      </c>
      <c r="B10" s="3" t="s">
        <v>482</v>
      </c>
      <c r="C10" s="3" t="s">
        <v>343</v>
      </c>
      <c r="D10" s="3" t="s">
        <v>354</v>
      </c>
      <c r="E10" s="3"/>
      <c r="F10" s="3" t="s">
        <v>21</v>
      </c>
      <c r="G10" s="3"/>
      <c r="H10" s="3" t="s">
        <v>18</v>
      </c>
      <c r="I10" s="9"/>
      <c r="J10" s="9">
        <v>28000000</v>
      </c>
      <c r="K10" s="9" t="str">
        <f t="shared" si="0"/>
        <v/>
      </c>
      <c r="L10" s="9"/>
      <c r="M10" s="9">
        <v>0</v>
      </c>
      <c r="N10" s="9" t="str">
        <f t="shared" si="1"/>
        <v/>
      </c>
      <c r="O10" s="10"/>
      <c r="P10" s="10">
        <v>0</v>
      </c>
      <c r="Q10" s="10" t="str">
        <f t="shared" si="2"/>
        <v/>
      </c>
    </row>
    <row r="11" spans="1:17" hidden="1">
      <c r="A11" s="3" t="s">
        <v>355</v>
      </c>
      <c r="B11" s="3" t="s">
        <v>482</v>
      </c>
      <c r="C11" s="3" t="s">
        <v>343</v>
      </c>
      <c r="D11" s="3" t="s">
        <v>356</v>
      </c>
      <c r="E11" s="3"/>
      <c r="F11" s="3" t="s">
        <v>21</v>
      </c>
      <c r="G11" s="3"/>
      <c r="H11" s="3" t="s">
        <v>18</v>
      </c>
      <c r="I11" s="9"/>
      <c r="J11" s="9">
        <v>15200000</v>
      </c>
      <c r="K11" s="9" t="str">
        <f t="shared" si="0"/>
        <v/>
      </c>
      <c r="L11" s="9"/>
      <c r="M11" s="9">
        <v>0</v>
      </c>
      <c r="N11" s="9" t="str">
        <f t="shared" si="1"/>
        <v/>
      </c>
      <c r="O11" s="10"/>
      <c r="P11" s="10">
        <v>0</v>
      </c>
      <c r="Q11" s="10" t="str">
        <f t="shared" si="2"/>
        <v/>
      </c>
    </row>
    <row r="12" spans="1:17" hidden="1">
      <c r="A12" s="3" t="s">
        <v>357</v>
      </c>
      <c r="B12" s="3" t="s">
        <v>482</v>
      </c>
      <c r="C12" s="3" t="s">
        <v>343</v>
      </c>
      <c r="D12" s="3" t="s">
        <v>358</v>
      </c>
      <c r="E12" s="3"/>
      <c r="F12" s="3" t="s">
        <v>21</v>
      </c>
      <c r="G12" s="3"/>
      <c r="H12" s="3" t="s">
        <v>18</v>
      </c>
      <c r="I12" s="9"/>
      <c r="J12" s="9">
        <v>2000000</v>
      </c>
      <c r="K12" s="9" t="str">
        <f t="shared" si="0"/>
        <v/>
      </c>
      <c r="L12" s="9"/>
      <c r="M12" s="9">
        <v>0</v>
      </c>
      <c r="N12" s="9" t="str">
        <f t="shared" si="1"/>
        <v/>
      </c>
      <c r="O12" s="10"/>
      <c r="P12" s="10">
        <v>0</v>
      </c>
      <c r="Q12" s="10" t="str">
        <f t="shared" si="2"/>
        <v/>
      </c>
    </row>
    <row r="13" spans="1:17" ht="27" hidden="1">
      <c r="A13" s="3" t="s">
        <v>359</v>
      </c>
      <c r="B13" s="3" t="s">
        <v>482</v>
      </c>
      <c r="C13" s="3" t="s">
        <v>343</v>
      </c>
      <c r="D13" s="3" t="s">
        <v>360</v>
      </c>
      <c r="E13" s="3"/>
      <c r="F13" s="3" t="s">
        <v>21</v>
      </c>
      <c r="G13" s="3"/>
      <c r="H13" s="3" t="s">
        <v>18</v>
      </c>
      <c r="I13" s="9"/>
      <c r="J13" s="9">
        <v>64546000</v>
      </c>
      <c r="K13" s="9" t="str">
        <f t="shared" si="0"/>
        <v/>
      </c>
      <c r="L13" s="9"/>
      <c r="M13" s="9">
        <v>0</v>
      </c>
      <c r="N13" s="9" t="str">
        <f t="shared" si="1"/>
        <v/>
      </c>
      <c r="O13" s="10"/>
      <c r="P13" s="10">
        <v>0</v>
      </c>
      <c r="Q13" s="10" t="str">
        <f t="shared" si="2"/>
        <v/>
      </c>
    </row>
    <row r="14" spans="1:17" hidden="1">
      <c r="A14" s="3" t="s">
        <v>92</v>
      </c>
      <c r="B14" s="3" t="s">
        <v>484</v>
      </c>
      <c r="C14" s="3" t="s">
        <v>93</v>
      </c>
      <c r="D14" s="3" t="s">
        <v>94</v>
      </c>
      <c r="E14" s="3" t="s">
        <v>21</v>
      </c>
      <c r="F14" s="3"/>
      <c r="G14" s="3" t="s">
        <v>18</v>
      </c>
      <c r="H14" s="3"/>
      <c r="I14" s="9">
        <v>31544000</v>
      </c>
      <c r="J14" s="9"/>
      <c r="K14" s="9" t="str">
        <f t="shared" si="0"/>
        <v/>
      </c>
      <c r="L14" s="9">
        <v>0</v>
      </c>
      <c r="M14" s="9"/>
      <c r="N14" s="9" t="str">
        <f t="shared" si="1"/>
        <v/>
      </c>
      <c r="O14" s="10">
        <v>0</v>
      </c>
      <c r="P14" s="10"/>
      <c r="Q14" s="10" t="str">
        <f t="shared" si="2"/>
        <v/>
      </c>
    </row>
    <row r="15" spans="1:17" hidden="1">
      <c r="A15" s="3" t="s">
        <v>297</v>
      </c>
      <c r="B15" s="3" t="s">
        <v>484</v>
      </c>
      <c r="C15" s="3" t="s">
        <v>93</v>
      </c>
      <c r="D15" s="3" t="s">
        <v>298</v>
      </c>
      <c r="E15" s="3" t="s">
        <v>21</v>
      </c>
      <c r="F15" s="3"/>
      <c r="G15" s="3" t="s">
        <v>18</v>
      </c>
      <c r="H15" s="3"/>
      <c r="I15" s="9">
        <v>193484000</v>
      </c>
      <c r="J15" s="9"/>
      <c r="K15" s="9" t="str">
        <f t="shared" si="0"/>
        <v/>
      </c>
      <c r="L15" s="9">
        <v>0</v>
      </c>
      <c r="M15" s="9"/>
      <c r="N15" s="9" t="str">
        <f t="shared" si="1"/>
        <v/>
      </c>
      <c r="O15" s="10">
        <v>0</v>
      </c>
      <c r="P15" s="10"/>
      <c r="Q15" s="10" t="str">
        <f t="shared" si="2"/>
        <v/>
      </c>
    </row>
    <row r="16" spans="1:17" hidden="1">
      <c r="A16" s="3" t="s">
        <v>53</v>
      </c>
      <c r="B16" s="3" t="s">
        <v>10</v>
      </c>
      <c r="C16" s="3" t="s">
        <v>17</v>
      </c>
      <c r="D16" s="3" t="s">
        <v>54</v>
      </c>
      <c r="E16" s="3" t="s">
        <v>21</v>
      </c>
      <c r="F16" s="3" t="s">
        <v>23</v>
      </c>
      <c r="G16" s="3" t="s">
        <v>18</v>
      </c>
      <c r="H16" s="3" t="s">
        <v>18</v>
      </c>
      <c r="I16" s="9">
        <v>480000000</v>
      </c>
      <c r="J16" s="9">
        <v>480000000</v>
      </c>
      <c r="K16" s="9">
        <f t="shared" si="0"/>
        <v>0</v>
      </c>
      <c r="L16" s="9">
        <v>0</v>
      </c>
      <c r="M16" s="9">
        <v>0</v>
      </c>
      <c r="N16" s="9">
        <f t="shared" si="1"/>
        <v>0</v>
      </c>
      <c r="O16" s="10">
        <v>0</v>
      </c>
      <c r="P16" s="10">
        <v>0</v>
      </c>
      <c r="Q16" s="10">
        <f t="shared" si="2"/>
        <v>0</v>
      </c>
    </row>
    <row r="17" spans="1:17" hidden="1">
      <c r="A17" s="3" t="s">
        <v>69</v>
      </c>
      <c r="B17" s="3" t="s">
        <v>10</v>
      </c>
      <c r="C17" s="3" t="s">
        <v>70</v>
      </c>
      <c r="D17" s="3" t="s">
        <v>71</v>
      </c>
      <c r="E17" s="3" t="s">
        <v>21</v>
      </c>
      <c r="F17" s="3" t="s">
        <v>21</v>
      </c>
      <c r="G17" s="3" t="s">
        <v>18</v>
      </c>
      <c r="H17" s="3" t="s">
        <v>18</v>
      </c>
      <c r="I17" s="9">
        <v>150000000</v>
      </c>
      <c r="J17" s="9">
        <v>75000000</v>
      </c>
      <c r="K17" s="9">
        <f t="shared" si="0"/>
        <v>-75000000</v>
      </c>
      <c r="L17" s="9">
        <v>0</v>
      </c>
      <c r="M17" s="9">
        <v>0</v>
      </c>
      <c r="N17" s="9">
        <f t="shared" si="1"/>
        <v>0</v>
      </c>
      <c r="O17" s="10">
        <v>0</v>
      </c>
      <c r="P17" s="10">
        <v>0</v>
      </c>
      <c r="Q17" s="10">
        <f t="shared" si="2"/>
        <v>0</v>
      </c>
    </row>
    <row r="18" spans="1:17" ht="27" hidden="1">
      <c r="A18" s="3" t="s">
        <v>72</v>
      </c>
      <c r="B18" s="3" t="s">
        <v>10</v>
      </c>
      <c r="C18" s="3" t="s">
        <v>70</v>
      </c>
      <c r="D18" s="3" t="s">
        <v>73</v>
      </c>
      <c r="E18" s="3" t="s">
        <v>21</v>
      </c>
      <c r="F18" s="3" t="s">
        <v>21</v>
      </c>
      <c r="G18" s="3" t="s">
        <v>18</v>
      </c>
      <c r="H18" s="3" t="s">
        <v>18</v>
      </c>
      <c r="I18" s="9">
        <v>4125000</v>
      </c>
      <c r="J18" s="9">
        <v>8250000</v>
      </c>
      <c r="K18" s="9">
        <f t="shared" si="0"/>
        <v>4125000</v>
      </c>
      <c r="L18" s="9">
        <v>0</v>
      </c>
      <c r="M18" s="9">
        <v>0</v>
      </c>
      <c r="N18" s="9">
        <f t="shared" si="1"/>
        <v>0</v>
      </c>
      <c r="O18" s="10">
        <v>0</v>
      </c>
      <c r="P18" s="10">
        <v>0</v>
      </c>
      <c r="Q18" s="10">
        <f t="shared" si="2"/>
        <v>0</v>
      </c>
    </row>
    <row r="19" spans="1:17" ht="40.5">
      <c r="A19" s="3" t="s">
        <v>74</v>
      </c>
      <c r="B19" s="3" t="s">
        <v>10</v>
      </c>
      <c r="C19" s="3" t="s">
        <v>75</v>
      </c>
      <c r="D19" s="3" t="s">
        <v>76</v>
      </c>
      <c r="E19" s="3" t="s">
        <v>21</v>
      </c>
      <c r="F19" s="3" t="s">
        <v>21</v>
      </c>
      <c r="G19" s="3" t="s">
        <v>22</v>
      </c>
      <c r="H19" s="3" t="s">
        <v>22</v>
      </c>
      <c r="I19" s="9">
        <v>330000000</v>
      </c>
      <c r="J19" s="9">
        <v>115500000</v>
      </c>
      <c r="K19" s="9">
        <f t="shared" si="0"/>
        <v>-214500000</v>
      </c>
      <c r="L19" s="9">
        <v>20982889</v>
      </c>
      <c r="M19" s="9">
        <v>20982889</v>
      </c>
      <c r="N19" s="9">
        <f t="shared" si="1"/>
        <v>0</v>
      </c>
      <c r="O19" s="10">
        <v>6</v>
      </c>
      <c r="P19" s="10">
        <v>18</v>
      </c>
      <c r="Q19" s="10">
        <f t="shared" si="2"/>
        <v>12</v>
      </c>
    </row>
    <row r="20" spans="1:17" hidden="1">
      <c r="A20" s="3" t="s">
        <v>79</v>
      </c>
      <c r="B20" s="3" t="s">
        <v>10</v>
      </c>
      <c r="C20" s="3" t="s">
        <v>80</v>
      </c>
      <c r="D20" s="3" t="s">
        <v>81</v>
      </c>
      <c r="E20" s="3" t="s">
        <v>19</v>
      </c>
      <c r="F20" s="3" t="s">
        <v>19</v>
      </c>
      <c r="G20" s="3" t="s">
        <v>18</v>
      </c>
      <c r="H20" s="3" t="s">
        <v>18</v>
      </c>
      <c r="I20" s="9">
        <v>96000000</v>
      </c>
      <c r="J20" s="9">
        <v>24000000</v>
      </c>
      <c r="K20" s="9">
        <f t="shared" si="0"/>
        <v>-72000000</v>
      </c>
      <c r="L20" s="9">
        <v>0</v>
      </c>
      <c r="M20" s="9">
        <v>0</v>
      </c>
      <c r="N20" s="9">
        <f t="shared" si="1"/>
        <v>0</v>
      </c>
      <c r="O20" s="10">
        <v>0</v>
      </c>
      <c r="P20" s="10">
        <v>0</v>
      </c>
      <c r="Q20" s="10">
        <f t="shared" si="2"/>
        <v>0</v>
      </c>
    </row>
    <row r="21" spans="1:17" hidden="1">
      <c r="A21" s="3" t="s">
        <v>84</v>
      </c>
      <c r="B21" s="3" t="s">
        <v>10</v>
      </c>
      <c r="C21" s="3" t="s">
        <v>70</v>
      </c>
      <c r="D21" s="3" t="s">
        <v>85</v>
      </c>
      <c r="E21" s="3" t="s">
        <v>21</v>
      </c>
      <c r="F21" s="3" t="s">
        <v>21</v>
      </c>
      <c r="G21" s="3" t="s">
        <v>18</v>
      </c>
      <c r="H21" s="3" t="s">
        <v>18</v>
      </c>
      <c r="I21" s="9">
        <v>48000000</v>
      </c>
      <c r="J21" s="9">
        <v>33600000</v>
      </c>
      <c r="K21" s="9">
        <f t="shared" si="0"/>
        <v>-14400000</v>
      </c>
      <c r="L21" s="9">
        <v>0</v>
      </c>
      <c r="M21" s="9">
        <v>0</v>
      </c>
      <c r="N21" s="9">
        <f t="shared" si="1"/>
        <v>0</v>
      </c>
      <c r="O21" s="10">
        <v>0</v>
      </c>
      <c r="P21" s="10">
        <v>0</v>
      </c>
      <c r="Q21" s="10">
        <f t="shared" si="2"/>
        <v>0</v>
      </c>
    </row>
    <row r="22" spans="1:17" hidden="1">
      <c r="A22" s="3" t="s">
        <v>86</v>
      </c>
      <c r="B22" s="3" t="s">
        <v>10</v>
      </c>
      <c r="C22" s="3" t="s">
        <v>35</v>
      </c>
      <c r="D22" s="3" t="s">
        <v>87</v>
      </c>
      <c r="E22" s="3" t="s">
        <v>21</v>
      </c>
      <c r="F22" s="3" t="s">
        <v>21</v>
      </c>
      <c r="G22" s="3" t="s">
        <v>18</v>
      </c>
      <c r="H22" s="3" t="s">
        <v>18</v>
      </c>
      <c r="I22" s="9">
        <v>44000000</v>
      </c>
      <c r="J22" s="9">
        <v>44000000</v>
      </c>
      <c r="K22" s="9">
        <f t="shared" si="0"/>
        <v>0</v>
      </c>
      <c r="L22" s="9">
        <v>0</v>
      </c>
      <c r="M22" s="9">
        <v>0</v>
      </c>
      <c r="N22" s="9">
        <f t="shared" si="1"/>
        <v>0</v>
      </c>
      <c r="O22" s="10">
        <v>0</v>
      </c>
      <c r="P22" s="10">
        <v>0</v>
      </c>
      <c r="Q22" s="10">
        <f t="shared" si="2"/>
        <v>0</v>
      </c>
    </row>
    <row r="23" spans="1:17" hidden="1">
      <c r="A23" s="3" t="s">
        <v>95</v>
      </c>
      <c r="B23" s="3" t="s">
        <v>10</v>
      </c>
      <c r="C23" s="3" t="s">
        <v>80</v>
      </c>
      <c r="D23" s="3" t="s">
        <v>96</v>
      </c>
      <c r="E23" s="3" t="s">
        <v>21</v>
      </c>
      <c r="F23" s="3" t="s">
        <v>21</v>
      </c>
      <c r="G23" s="3" t="s">
        <v>18</v>
      </c>
      <c r="H23" s="3" t="s">
        <v>18</v>
      </c>
      <c r="I23" s="9">
        <v>189000000</v>
      </c>
      <c r="J23" s="9">
        <v>184500000</v>
      </c>
      <c r="K23" s="9">
        <f t="shared" si="0"/>
        <v>-4500000</v>
      </c>
      <c r="L23" s="9">
        <v>0</v>
      </c>
      <c r="M23" s="9">
        <v>0</v>
      </c>
      <c r="N23" s="9">
        <f t="shared" si="1"/>
        <v>0</v>
      </c>
      <c r="O23" s="10">
        <v>0</v>
      </c>
      <c r="P23" s="10">
        <v>0</v>
      </c>
      <c r="Q23" s="10">
        <f t="shared" si="2"/>
        <v>0</v>
      </c>
    </row>
    <row r="24" spans="1:17" hidden="1">
      <c r="A24" s="3" t="s">
        <v>97</v>
      </c>
      <c r="B24" s="3" t="s">
        <v>10</v>
      </c>
      <c r="C24" s="3" t="s">
        <v>70</v>
      </c>
      <c r="D24" s="3" t="s">
        <v>98</v>
      </c>
      <c r="E24" s="3" t="s">
        <v>21</v>
      </c>
      <c r="F24" s="3" t="s">
        <v>21</v>
      </c>
      <c r="G24" s="3" t="s">
        <v>18</v>
      </c>
      <c r="H24" s="3" t="s">
        <v>18</v>
      </c>
      <c r="I24" s="9">
        <v>6875000</v>
      </c>
      <c r="J24" s="9">
        <v>5250000</v>
      </c>
      <c r="K24" s="9">
        <f t="shared" si="0"/>
        <v>-1625000</v>
      </c>
      <c r="L24" s="9">
        <v>0</v>
      </c>
      <c r="M24" s="9">
        <v>0</v>
      </c>
      <c r="N24" s="9">
        <f t="shared" si="1"/>
        <v>0</v>
      </c>
      <c r="O24" s="10">
        <v>0</v>
      </c>
      <c r="P24" s="10">
        <v>0</v>
      </c>
      <c r="Q24" s="10">
        <f t="shared" si="2"/>
        <v>0</v>
      </c>
    </row>
    <row r="25" spans="1:17" hidden="1">
      <c r="A25" s="3" t="s">
        <v>101</v>
      </c>
      <c r="B25" s="3" t="s">
        <v>10</v>
      </c>
      <c r="C25" s="3" t="s">
        <v>70</v>
      </c>
      <c r="D25" s="3" t="s">
        <v>102</v>
      </c>
      <c r="E25" s="3" t="s">
        <v>21</v>
      </c>
      <c r="F25" s="3" t="s">
        <v>21</v>
      </c>
      <c r="G25" s="3" t="s">
        <v>18</v>
      </c>
      <c r="H25" s="3" t="s">
        <v>18</v>
      </c>
      <c r="I25" s="9">
        <v>44000000</v>
      </c>
      <c r="J25" s="9">
        <v>29600000</v>
      </c>
      <c r="K25" s="9">
        <f t="shared" si="0"/>
        <v>-14400000</v>
      </c>
      <c r="L25" s="9">
        <v>0</v>
      </c>
      <c r="M25" s="9">
        <v>0</v>
      </c>
      <c r="N25" s="9">
        <f t="shared" si="1"/>
        <v>0</v>
      </c>
      <c r="O25" s="10">
        <v>0</v>
      </c>
      <c r="P25" s="10">
        <v>0</v>
      </c>
      <c r="Q25" s="10">
        <f t="shared" si="2"/>
        <v>0</v>
      </c>
    </row>
    <row r="26" spans="1:17" hidden="1">
      <c r="A26" s="3" t="s">
        <v>103</v>
      </c>
      <c r="B26" s="3" t="s">
        <v>10</v>
      </c>
      <c r="C26" s="3" t="s">
        <v>80</v>
      </c>
      <c r="D26" s="3" t="s">
        <v>104</v>
      </c>
      <c r="E26" s="3" t="s">
        <v>21</v>
      </c>
      <c r="F26" s="3" t="s">
        <v>21</v>
      </c>
      <c r="G26" s="3" t="s">
        <v>18</v>
      </c>
      <c r="H26" s="3" t="s">
        <v>18</v>
      </c>
      <c r="I26" s="9">
        <v>46000000</v>
      </c>
      <c r="J26" s="9">
        <v>120000000</v>
      </c>
      <c r="K26" s="9">
        <f t="shared" si="0"/>
        <v>74000000</v>
      </c>
      <c r="L26" s="9">
        <v>0</v>
      </c>
      <c r="M26" s="9">
        <v>0</v>
      </c>
      <c r="N26" s="9">
        <f t="shared" si="1"/>
        <v>0</v>
      </c>
      <c r="O26" s="10">
        <v>0</v>
      </c>
      <c r="P26" s="10">
        <v>0</v>
      </c>
      <c r="Q26" s="10">
        <f t="shared" si="2"/>
        <v>0</v>
      </c>
    </row>
    <row r="27" spans="1:17" hidden="1">
      <c r="A27" s="3" t="s">
        <v>139</v>
      </c>
      <c r="B27" s="3" t="s">
        <v>10</v>
      </c>
      <c r="C27" s="3" t="s">
        <v>80</v>
      </c>
      <c r="D27" s="3" t="s">
        <v>140</v>
      </c>
      <c r="E27" s="3" t="s">
        <v>21</v>
      </c>
      <c r="F27" s="3" t="s">
        <v>21</v>
      </c>
      <c r="G27" s="3" t="s">
        <v>18</v>
      </c>
      <c r="H27" s="3" t="s">
        <v>18</v>
      </c>
      <c r="I27" s="9">
        <v>7600000</v>
      </c>
      <c r="J27" s="9">
        <v>24500000</v>
      </c>
      <c r="K27" s="9">
        <f t="shared" si="0"/>
        <v>16900000</v>
      </c>
      <c r="L27" s="9">
        <v>0</v>
      </c>
      <c r="M27" s="9">
        <v>0</v>
      </c>
      <c r="N27" s="9">
        <f t="shared" si="1"/>
        <v>0</v>
      </c>
      <c r="O27" s="10">
        <v>0</v>
      </c>
      <c r="P27" s="10">
        <v>0</v>
      </c>
      <c r="Q27" s="10">
        <f t="shared" si="2"/>
        <v>0</v>
      </c>
    </row>
    <row r="28" spans="1:17" ht="27" hidden="1">
      <c r="A28" s="3" t="s">
        <v>160</v>
      </c>
      <c r="B28" s="3" t="s">
        <v>10</v>
      </c>
      <c r="C28" s="3" t="s">
        <v>161</v>
      </c>
      <c r="D28" s="3" t="s">
        <v>162</v>
      </c>
      <c r="E28" s="3" t="s">
        <v>21</v>
      </c>
      <c r="F28" s="3" t="s">
        <v>19</v>
      </c>
      <c r="G28" s="3" t="s">
        <v>18</v>
      </c>
      <c r="H28" s="3" t="s">
        <v>18</v>
      </c>
      <c r="I28" s="9">
        <v>50400000</v>
      </c>
      <c r="J28" s="9">
        <v>57600000</v>
      </c>
      <c r="K28" s="9">
        <f t="shared" si="0"/>
        <v>7200000</v>
      </c>
      <c r="L28" s="9">
        <v>0</v>
      </c>
      <c r="M28" s="9">
        <v>0</v>
      </c>
      <c r="N28" s="9">
        <f t="shared" si="1"/>
        <v>0</v>
      </c>
      <c r="O28" s="10">
        <v>0</v>
      </c>
      <c r="P28" s="10">
        <v>0</v>
      </c>
      <c r="Q28" s="10">
        <f t="shared" si="2"/>
        <v>0</v>
      </c>
    </row>
    <row r="29" spans="1:17" ht="27" hidden="1">
      <c r="A29" s="3" t="s">
        <v>163</v>
      </c>
      <c r="B29" s="3" t="s">
        <v>10</v>
      </c>
      <c r="C29" s="3" t="s">
        <v>70</v>
      </c>
      <c r="D29" s="3" t="s">
        <v>164</v>
      </c>
      <c r="E29" s="3" t="s">
        <v>21</v>
      </c>
      <c r="F29" s="3" t="s">
        <v>21</v>
      </c>
      <c r="G29" s="3" t="s">
        <v>18</v>
      </c>
      <c r="H29" s="3" t="s">
        <v>18</v>
      </c>
      <c r="I29" s="9">
        <v>122010000</v>
      </c>
      <c r="J29" s="9">
        <v>90244000</v>
      </c>
      <c r="K29" s="9">
        <f t="shared" si="0"/>
        <v>-31766000</v>
      </c>
      <c r="L29" s="9">
        <v>0</v>
      </c>
      <c r="M29" s="9">
        <v>0</v>
      </c>
      <c r="N29" s="9">
        <f t="shared" si="1"/>
        <v>0</v>
      </c>
      <c r="O29" s="10">
        <v>0</v>
      </c>
      <c r="P29" s="10">
        <v>0</v>
      </c>
      <c r="Q29" s="10">
        <f t="shared" si="2"/>
        <v>0</v>
      </c>
    </row>
    <row r="30" spans="1:17" ht="27" hidden="1">
      <c r="A30" s="3" t="s">
        <v>165</v>
      </c>
      <c r="B30" s="3" t="s">
        <v>10</v>
      </c>
      <c r="C30" s="3" t="s">
        <v>70</v>
      </c>
      <c r="D30" s="3" t="s">
        <v>166</v>
      </c>
      <c r="E30" s="3" t="s">
        <v>19</v>
      </c>
      <c r="F30" s="3" t="s">
        <v>19</v>
      </c>
      <c r="G30" s="3" t="s">
        <v>18</v>
      </c>
      <c r="H30" s="3" t="s">
        <v>18</v>
      </c>
      <c r="I30" s="9">
        <v>67200000</v>
      </c>
      <c r="J30" s="9">
        <v>44800000</v>
      </c>
      <c r="K30" s="9">
        <f t="shared" si="0"/>
        <v>-22400000</v>
      </c>
      <c r="L30" s="9">
        <v>0</v>
      </c>
      <c r="M30" s="9">
        <v>0</v>
      </c>
      <c r="N30" s="9">
        <f t="shared" si="1"/>
        <v>0</v>
      </c>
      <c r="O30" s="10">
        <v>0</v>
      </c>
      <c r="P30" s="10">
        <v>0</v>
      </c>
      <c r="Q30" s="10">
        <f t="shared" si="2"/>
        <v>0</v>
      </c>
    </row>
    <row r="31" spans="1:17" ht="27" hidden="1">
      <c r="A31" s="3" t="s">
        <v>167</v>
      </c>
      <c r="B31" s="3" t="s">
        <v>10</v>
      </c>
      <c r="C31" s="3" t="s">
        <v>161</v>
      </c>
      <c r="D31" s="3" t="s">
        <v>168</v>
      </c>
      <c r="E31" s="3" t="s">
        <v>21</v>
      </c>
      <c r="F31" s="3" t="s">
        <v>19</v>
      </c>
      <c r="G31" s="3" t="s">
        <v>18</v>
      </c>
      <c r="H31" s="3" t="s">
        <v>18</v>
      </c>
      <c r="I31" s="9">
        <v>117600000</v>
      </c>
      <c r="J31" s="9">
        <v>156800000</v>
      </c>
      <c r="K31" s="9">
        <f t="shared" si="0"/>
        <v>39200000</v>
      </c>
      <c r="L31" s="9">
        <v>0</v>
      </c>
      <c r="M31" s="9">
        <v>0</v>
      </c>
      <c r="N31" s="9">
        <f t="shared" si="1"/>
        <v>0</v>
      </c>
      <c r="O31" s="10">
        <v>0</v>
      </c>
      <c r="P31" s="10">
        <v>0</v>
      </c>
      <c r="Q31" s="10">
        <f t="shared" si="2"/>
        <v>0</v>
      </c>
    </row>
    <row r="32" spans="1:17" ht="27" hidden="1">
      <c r="A32" s="3" t="s">
        <v>169</v>
      </c>
      <c r="B32" s="3" t="s">
        <v>10</v>
      </c>
      <c r="C32" s="3" t="s">
        <v>70</v>
      </c>
      <c r="D32" s="3" t="s">
        <v>170</v>
      </c>
      <c r="E32" s="3" t="s">
        <v>21</v>
      </c>
      <c r="F32" s="3" t="s">
        <v>21</v>
      </c>
      <c r="G32" s="3" t="s">
        <v>18</v>
      </c>
      <c r="H32" s="3" t="s">
        <v>18</v>
      </c>
      <c r="I32" s="9">
        <v>33600000</v>
      </c>
      <c r="J32" s="9">
        <v>44800000</v>
      </c>
      <c r="K32" s="9">
        <f t="shared" si="0"/>
        <v>11200000</v>
      </c>
      <c r="L32" s="9">
        <v>0</v>
      </c>
      <c r="M32" s="9">
        <v>0</v>
      </c>
      <c r="N32" s="9">
        <f t="shared" si="1"/>
        <v>0</v>
      </c>
      <c r="O32" s="10">
        <v>0</v>
      </c>
      <c r="P32" s="10">
        <v>0</v>
      </c>
      <c r="Q32" s="10">
        <f t="shared" si="2"/>
        <v>0</v>
      </c>
    </row>
    <row r="33" spans="1:17" ht="27" hidden="1">
      <c r="A33" s="3" t="s">
        <v>171</v>
      </c>
      <c r="B33" s="3" t="s">
        <v>10</v>
      </c>
      <c r="C33" s="3" t="s">
        <v>70</v>
      </c>
      <c r="D33" s="3" t="s">
        <v>172</v>
      </c>
      <c r="E33" s="3" t="s">
        <v>21</v>
      </c>
      <c r="F33" s="3" t="s">
        <v>21</v>
      </c>
      <c r="G33" s="3" t="s">
        <v>18</v>
      </c>
      <c r="H33" s="3" t="s">
        <v>18</v>
      </c>
      <c r="I33" s="9">
        <v>3360000</v>
      </c>
      <c r="J33" s="9">
        <v>4480000</v>
      </c>
      <c r="K33" s="9">
        <f t="shared" si="0"/>
        <v>1120000</v>
      </c>
      <c r="L33" s="9">
        <v>0</v>
      </c>
      <c r="M33" s="9">
        <v>0</v>
      </c>
      <c r="N33" s="9">
        <f t="shared" si="1"/>
        <v>0</v>
      </c>
      <c r="O33" s="10">
        <v>0</v>
      </c>
      <c r="P33" s="10">
        <v>0</v>
      </c>
      <c r="Q33" s="10">
        <f t="shared" si="2"/>
        <v>0</v>
      </c>
    </row>
    <row r="34" spans="1:17" ht="27" hidden="1">
      <c r="A34" s="3" t="s">
        <v>173</v>
      </c>
      <c r="B34" s="3" t="s">
        <v>10</v>
      </c>
      <c r="C34" s="3" t="s">
        <v>70</v>
      </c>
      <c r="D34" s="3" t="s">
        <v>174</v>
      </c>
      <c r="E34" s="3" t="s">
        <v>21</v>
      </c>
      <c r="F34" s="3" t="s">
        <v>21</v>
      </c>
      <c r="G34" s="3" t="s">
        <v>18</v>
      </c>
      <c r="H34" s="3" t="s">
        <v>18</v>
      </c>
      <c r="I34" s="9">
        <v>2625000</v>
      </c>
      <c r="J34" s="9">
        <v>4375000</v>
      </c>
      <c r="K34" s="9">
        <f t="shared" si="0"/>
        <v>1750000</v>
      </c>
      <c r="L34" s="9">
        <v>0</v>
      </c>
      <c r="M34" s="9">
        <v>0</v>
      </c>
      <c r="N34" s="9">
        <f t="shared" si="1"/>
        <v>0</v>
      </c>
      <c r="O34" s="10">
        <v>0</v>
      </c>
      <c r="P34" s="10">
        <v>0</v>
      </c>
      <c r="Q34" s="10">
        <f t="shared" si="2"/>
        <v>0</v>
      </c>
    </row>
    <row r="35" spans="1:17" ht="27" hidden="1">
      <c r="A35" s="3" t="s">
        <v>177</v>
      </c>
      <c r="B35" s="3" t="s">
        <v>10</v>
      </c>
      <c r="C35" s="3" t="s">
        <v>70</v>
      </c>
      <c r="D35" s="3" t="s">
        <v>178</v>
      </c>
      <c r="E35" s="3" t="s">
        <v>21</v>
      </c>
      <c r="F35" s="3" t="s">
        <v>21</v>
      </c>
      <c r="G35" s="3" t="s">
        <v>18</v>
      </c>
      <c r="H35" s="3" t="s">
        <v>18</v>
      </c>
      <c r="I35" s="9">
        <v>426870000</v>
      </c>
      <c r="J35" s="9">
        <v>388700000</v>
      </c>
      <c r="K35" s="9">
        <f t="shared" si="0"/>
        <v>-38170000</v>
      </c>
      <c r="L35" s="9">
        <v>0</v>
      </c>
      <c r="M35" s="9">
        <v>0</v>
      </c>
      <c r="N35" s="9">
        <f t="shared" si="1"/>
        <v>0</v>
      </c>
      <c r="O35" s="10">
        <v>0</v>
      </c>
      <c r="P35" s="10">
        <v>0</v>
      </c>
      <c r="Q35" s="10">
        <f t="shared" si="2"/>
        <v>0</v>
      </c>
    </row>
    <row r="36" spans="1:17" ht="27" hidden="1">
      <c r="A36" s="3" t="s">
        <v>179</v>
      </c>
      <c r="B36" s="3" t="s">
        <v>10</v>
      </c>
      <c r="C36" s="3" t="s">
        <v>70</v>
      </c>
      <c r="D36" s="3" t="s">
        <v>180</v>
      </c>
      <c r="E36" s="3" t="s">
        <v>21</v>
      </c>
      <c r="F36" s="3" t="s">
        <v>21</v>
      </c>
      <c r="G36" s="3" t="s">
        <v>18</v>
      </c>
      <c r="H36" s="3" t="s">
        <v>18</v>
      </c>
      <c r="I36" s="9">
        <v>58320000</v>
      </c>
      <c r="J36" s="9">
        <v>7420000</v>
      </c>
      <c r="K36" s="9">
        <f t="shared" si="0"/>
        <v>-50900000</v>
      </c>
      <c r="L36" s="9">
        <v>0</v>
      </c>
      <c r="M36" s="9">
        <v>0</v>
      </c>
      <c r="N36" s="9">
        <f t="shared" si="1"/>
        <v>0</v>
      </c>
      <c r="O36" s="10">
        <v>0</v>
      </c>
      <c r="P36" s="10">
        <v>0</v>
      </c>
      <c r="Q36" s="10">
        <f t="shared" si="2"/>
        <v>0</v>
      </c>
    </row>
    <row r="37" spans="1:17" ht="27" hidden="1">
      <c r="A37" s="3" t="s">
        <v>181</v>
      </c>
      <c r="B37" s="3" t="s">
        <v>10</v>
      </c>
      <c r="C37" s="3" t="s">
        <v>70</v>
      </c>
      <c r="D37" s="3" t="s">
        <v>182</v>
      </c>
      <c r="E37" s="3" t="s">
        <v>21</v>
      </c>
      <c r="F37" s="3" t="s">
        <v>21</v>
      </c>
      <c r="G37" s="3" t="s">
        <v>18</v>
      </c>
      <c r="H37" s="3" t="s">
        <v>18</v>
      </c>
      <c r="I37" s="9">
        <v>22960000</v>
      </c>
      <c r="J37" s="9">
        <v>15700000</v>
      </c>
      <c r="K37" s="9">
        <f t="shared" ref="K37:K56" si="3">IF(OR(I37="",J37=""),"",J37-I37)</f>
        <v>-7260000</v>
      </c>
      <c r="L37" s="9">
        <v>0</v>
      </c>
      <c r="M37" s="9">
        <v>0</v>
      </c>
      <c r="N37" s="9">
        <f t="shared" ref="N37:N56" si="4">IF(OR(L37="",M37=""),"",M37-L37)</f>
        <v>0</v>
      </c>
      <c r="O37" s="10">
        <v>0</v>
      </c>
      <c r="P37" s="10">
        <v>0</v>
      </c>
      <c r="Q37" s="10">
        <f t="shared" ref="Q37:Q56" si="5">IF(OR(O37="",P37=""),"",P37-O37)</f>
        <v>0</v>
      </c>
    </row>
    <row r="38" spans="1:17" ht="27" hidden="1">
      <c r="A38" s="3" t="s">
        <v>191</v>
      </c>
      <c r="B38" s="3" t="s">
        <v>10</v>
      </c>
      <c r="C38" s="3" t="s">
        <v>192</v>
      </c>
      <c r="D38" s="3" t="s">
        <v>193</v>
      </c>
      <c r="E38" s="3" t="s">
        <v>21</v>
      </c>
      <c r="F38" s="3" t="s">
        <v>19</v>
      </c>
      <c r="G38" s="3" t="s">
        <v>18</v>
      </c>
      <c r="H38" s="3" t="s">
        <v>20</v>
      </c>
      <c r="I38" s="9">
        <v>15990000</v>
      </c>
      <c r="J38" s="9">
        <v>15990000</v>
      </c>
      <c r="K38" s="9">
        <f t="shared" si="3"/>
        <v>0</v>
      </c>
      <c r="L38" s="9">
        <v>0</v>
      </c>
      <c r="M38" s="9">
        <v>9312500</v>
      </c>
      <c r="N38" s="9">
        <f t="shared" si="4"/>
        <v>9312500</v>
      </c>
      <c r="O38" s="10">
        <v>0</v>
      </c>
      <c r="P38" s="10">
        <v>58</v>
      </c>
      <c r="Q38" s="10">
        <f t="shared" si="5"/>
        <v>58</v>
      </c>
    </row>
    <row r="39" spans="1:17" ht="27" hidden="1">
      <c r="A39" s="3" t="s">
        <v>198</v>
      </c>
      <c r="B39" s="3" t="s">
        <v>10</v>
      </c>
      <c r="C39" s="3" t="s">
        <v>199</v>
      </c>
      <c r="D39" s="3" t="s">
        <v>200</v>
      </c>
      <c r="E39" s="3" t="s">
        <v>19</v>
      </c>
      <c r="F39" s="3" t="s">
        <v>21</v>
      </c>
      <c r="G39" s="3" t="s">
        <v>18</v>
      </c>
      <c r="H39" s="3" t="s">
        <v>18</v>
      </c>
      <c r="I39" s="9">
        <v>321410000</v>
      </c>
      <c r="J39" s="9">
        <v>173500000</v>
      </c>
      <c r="K39" s="9">
        <f t="shared" si="3"/>
        <v>-147910000</v>
      </c>
      <c r="L39" s="9">
        <v>0</v>
      </c>
      <c r="M39" s="9">
        <v>0</v>
      </c>
      <c r="N39" s="9">
        <f t="shared" si="4"/>
        <v>0</v>
      </c>
      <c r="O39" s="10">
        <v>0</v>
      </c>
      <c r="P39" s="10">
        <v>0</v>
      </c>
      <c r="Q39" s="10">
        <f t="shared" si="5"/>
        <v>0</v>
      </c>
    </row>
    <row r="40" spans="1:17" s="15" customFormat="1" ht="54">
      <c r="A40" s="12" t="s">
        <v>211</v>
      </c>
      <c r="B40" s="12" t="s">
        <v>10</v>
      </c>
      <c r="C40" s="12" t="s">
        <v>212</v>
      </c>
      <c r="D40" s="12" t="s">
        <v>213</v>
      </c>
      <c r="E40" s="12" t="s">
        <v>21</v>
      </c>
      <c r="F40" s="12" t="s">
        <v>21</v>
      </c>
      <c r="G40" s="12" t="s">
        <v>22</v>
      </c>
      <c r="H40" s="12" t="s">
        <v>18</v>
      </c>
      <c r="I40" s="13">
        <v>80055000</v>
      </c>
      <c r="J40" s="13">
        <v>80055000</v>
      </c>
      <c r="K40" s="13">
        <f t="shared" si="3"/>
        <v>0</v>
      </c>
      <c r="L40" s="13">
        <v>79646692.040000007</v>
      </c>
      <c r="M40" s="13">
        <v>0</v>
      </c>
      <c r="N40" s="13">
        <f t="shared" si="4"/>
        <v>-79646692.040000007</v>
      </c>
      <c r="O40" s="14">
        <v>99</v>
      </c>
      <c r="P40" s="14">
        <v>0</v>
      </c>
      <c r="Q40" s="14">
        <f t="shared" si="5"/>
        <v>-99</v>
      </c>
    </row>
    <row r="41" spans="1:17">
      <c r="A41" s="3" t="s">
        <v>238</v>
      </c>
      <c r="B41" s="3" t="s">
        <v>10</v>
      </c>
      <c r="C41" s="3" t="s">
        <v>239</v>
      </c>
      <c r="D41" s="3" t="s">
        <v>240</v>
      </c>
      <c r="E41" s="3" t="s">
        <v>19</v>
      </c>
      <c r="F41" s="3" t="s">
        <v>19</v>
      </c>
      <c r="G41" s="3" t="s">
        <v>22</v>
      </c>
      <c r="H41" s="3" t="s">
        <v>22</v>
      </c>
      <c r="I41" s="9">
        <v>6330000</v>
      </c>
      <c r="J41" s="9">
        <v>114356000</v>
      </c>
      <c r="K41" s="9">
        <f t="shared" si="3"/>
        <v>108026000</v>
      </c>
      <c r="L41" s="9">
        <v>6164812</v>
      </c>
      <c r="M41" s="9">
        <v>6164812</v>
      </c>
      <c r="N41" s="9">
        <f t="shared" si="4"/>
        <v>0</v>
      </c>
      <c r="O41" s="10">
        <v>97</v>
      </c>
      <c r="P41" s="10">
        <v>5</v>
      </c>
      <c r="Q41" s="10">
        <f t="shared" si="5"/>
        <v>-92</v>
      </c>
    </row>
    <row r="42" spans="1:17" hidden="1">
      <c r="A42" s="3" t="s">
        <v>247</v>
      </c>
      <c r="B42" s="3" t="s">
        <v>10</v>
      </c>
      <c r="C42" s="3" t="s">
        <v>248</v>
      </c>
      <c r="D42" s="3" t="s">
        <v>249</v>
      </c>
      <c r="E42" s="3" t="s">
        <v>19</v>
      </c>
      <c r="F42" s="3" t="s">
        <v>19</v>
      </c>
      <c r="G42" s="3" t="s">
        <v>20</v>
      </c>
      <c r="H42" s="3" t="s">
        <v>20</v>
      </c>
      <c r="I42" s="9">
        <v>3200040000</v>
      </c>
      <c r="J42" s="9">
        <v>3200040000</v>
      </c>
      <c r="K42" s="9">
        <f t="shared" si="3"/>
        <v>0</v>
      </c>
      <c r="L42" s="9">
        <v>2984279816</v>
      </c>
      <c r="M42" s="9">
        <v>3011121866</v>
      </c>
      <c r="N42" s="9">
        <f t="shared" si="4"/>
        <v>26842050</v>
      </c>
      <c r="O42" s="10">
        <v>93</v>
      </c>
      <c r="P42" s="10">
        <v>94</v>
      </c>
      <c r="Q42" s="10">
        <f t="shared" si="5"/>
        <v>1</v>
      </c>
    </row>
    <row r="43" spans="1:17" hidden="1">
      <c r="A43" s="3" t="s">
        <v>252</v>
      </c>
      <c r="B43" s="3" t="s">
        <v>10</v>
      </c>
      <c r="C43" s="3" t="s">
        <v>80</v>
      </c>
      <c r="D43" s="3" t="s">
        <v>253</v>
      </c>
      <c r="E43" s="3" t="s">
        <v>21</v>
      </c>
      <c r="F43" s="3" t="s">
        <v>21</v>
      </c>
      <c r="G43" s="3" t="s">
        <v>18</v>
      </c>
      <c r="H43" s="3" t="s">
        <v>18</v>
      </c>
      <c r="I43" s="9">
        <v>14320004</v>
      </c>
      <c r="J43" s="9">
        <v>26040000</v>
      </c>
      <c r="K43" s="9">
        <f t="shared" si="3"/>
        <v>11719996</v>
      </c>
      <c r="L43" s="9">
        <v>0</v>
      </c>
      <c r="M43" s="9">
        <v>0</v>
      </c>
      <c r="N43" s="9">
        <f t="shared" si="4"/>
        <v>0</v>
      </c>
      <c r="O43" s="10">
        <v>0</v>
      </c>
      <c r="P43" s="10">
        <v>0</v>
      </c>
      <c r="Q43" s="10">
        <f t="shared" si="5"/>
        <v>0</v>
      </c>
    </row>
    <row r="44" spans="1:17" s="15" customFormat="1" ht="27">
      <c r="A44" s="12" t="s">
        <v>254</v>
      </c>
      <c r="B44" s="12" t="s">
        <v>10</v>
      </c>
      <c r="C44" s="12" t="s">
        <v>212</v>
      </c>
      <c r="D44" s="12" t="s">
        <v>255</v>
      </c>
      <c r="E44" s="12" t="s">
        <v>21</v>
      </c>
      <c r="F44" s="12" t="s">
        <v>21</v>
      </c>
      <c r="G44" s="12" t="s">
        <v>22</v>
      </c>
      <c r="H44" s="12" t="s">
        <v>18</v>
      </c>
      <c r="I44" s="13">
        <v>183632004</v>
      </c>
      <c r="J44" s="13">
        <v>183632004</v>
      </c>
      <c r="K44" s="13">
        <f t="shared" si="3"/>
        <v>0</v>
      </c>
      <c r="L44" s="13">
        <v>149564286</v>
      </c>
      <c r="M44" s="13">
        <v>0</v>
      </c>
      <c r="N44" s="13">
        <f t="shared" si="4"/>
        <v>-149564286</v>
      </c>
      <c r="O44" s="14">
        <v>81</v>
      </c>
      <c r="P44" s="14">
        <v>0</v>
      </c>
      <c r="Q44" s="14">
        <f t="shared" si="5"/>
        <v>-81</v>
      </c>
    </row>
    <row r="45" spans="1:17" ht="27" hidden="1">
      <c r="A45" s="3" t="s">
        <v>256</v>
      </c>
      <c r="B45" s="3" t="s">
        <v>10</v>
      </c>
      <c r="C45" s="3" t="s">
        <v>70</v>
      </c>
      <c r="D45" s="3" t="s">
        <v>257</v>
      </c>
      <c r="E45" s="3" t="s">
        <v>21</v>
      </c>
      <c r="F45" s="3" t="s">
        <v>21</v>
      </c>
      <c r="G45" s="3" t="s">
        <v>18</v>
      </c>
      <c r="H45" s="3" t="s">
        <v>18</v>
      </c>
      <c r="I45" s="9">
        <v>458332020</v>
      </c>
      <c r="J45" s="9">
        <v>297675000</v>
      </c>
      <c r="K45" s="9">
        <f t="shared" si="3"/>
        <v>-160657020</v>
      </c>
      <c r="L45" s="9">
        <v>0</v>
      </c>
      <c r="M45" s="9">
        <v>0</v>
      </c>
      <c r="N45" s="9">
        <f t="shared" si="4"/>
        <v>0</v>
      </c>
      <c r="O45" s="10">
        <v>0</v>
      </c>
      <c r="P45" s="10">
        <v>0</v>
      </c>
      <c r="Q45" s="10">
        <f t="shared" si="5"/>
        <v>0</v>
      </c>
    </row>
    <row r="46" spans="1:17" s="15" customFormat="1" ht="27">
      <c r="A46" s="12" t="s">
        <v>272</v>
      </c>
      <c r="B46" s="12" t="s">
        <v>10</v>
      </c>
      <c r="C46" s="12" t="s">
        <v>212</v>
      </c>
      <c r="D46" s="12" t="s">
        <v>273</v>
      </c>
      <c r="E46" s="12" t="s">
        <v>21</v>
      </c>
      <c r="F46" s="12" t="s">
        <v>21</v>
      </c>
      <c r="G46" s="12" t="s">
        <v>22</v>
      </c>
      <c r="H46" s="12" t="s">
        <v>18</v>
      </c>
      <c r="I46" s="13">
        <v>111000000</v>
      </c>
      <c r="J46" s="13">
        <v>111000000</v>
      </c>
      <c r="K46" s="13">
        <f t="shared" si="3"/>
        <v>0</v>
      </c>
      <c r="L46" s="13">
        <v>110335511.59999999</v>
      </c>
      <c r="M46" s="13">
        <v>0</v>
      </c>
      <c r="N46" s="13">
        <f t="shared" si="4"/>
        <v>-110335511.59999999</v>
      </c>
      <c r="O46" s="14">
        <v>99</v>
      </c>
      <c r="P46" s="14">
        <v>0</v>
      </c>
      <c r="Q46" s="14">
        <f t="shared" si="5"/>
        <v>-99</v>
      </c>
    </row>
    <row r="47" spans="1:17" s="15" customFormat="1" ht="27">
      <c r="A47" s="12" t="s">
        <v>286</v>
      </c>
      <c r="B47" s="12" t="s">
        <v>10</v>
      </c>
      <c r="C47" s="12" t="s">
        <v>212</v>
      </c>
      <c r="D47" s="12" t="s">
        <v>287</v>
      </c>
      <c r="E47" s="12" t="s">
        <v>21</v>
      </c>
      <c r="F47" s="12" t="s">
        <v>21</v>
      </c>
      <c r="G47" s="12" t="s">
        <v>22</v>
      </c>
      <c r="H47" s="12" t="s">
        <v>18</v>
      </c>
      <c r="I47" s="13">
        <v>76726000</v>
      </c>
      <c r="J47" s="13">
        <v>76726000</v>
      </c>
      <c r="K47" s="13">
        <f t="shared" si="3"/>
        <v>0</v>
      </c>
      <c r="L47" s="13">
        <v>66151374.390000001</v>
      </c>
      <c r="M47" s="13">
        <v>0</v>
      </c>
      <c r="N47" s="13">
        <f t="shared" si="4"/>
        <v>-66151374.390000001</v>
      </c>
      <c r="O47" s="14">
        <v>86</v>
      </c>
      <c r="P47" s="14">
        <v>0</v>
      </c>
      <c r="Q47" s="14">
        <f t="shared" si="5"/>
        <v>-86</v>
      </c>
    </row>
    <row r="48" spans="1:17" s="15" customFormat="1" ht="54">
      <c r="A48" s="12" t="s">
        <v>291</v>
      </c>
      <c r="B48" s="12" t="s">
        <v>10</v>
      </c>
      <c r="C48" s="12" t="s">
        <v>212</v>
      </c>
      <c r="D48" s="12" t="s">
        <v>292</v>
      </c>
      <c r="E48" s="12" t="s">
        <v>21</v>
      </c>
      <c r="F48" s="12" t="s">
        <v>21</v>
      </c>
      <c r="G48" s="12" t="s">
        <v>22</v>
      </c>
      <c r="H48" s="12" t="s">
        <v>18</v>
      </c>
      <c r="I48" s="13">
        <v>140500000</v>
      </c>
      <c r="J48" s="13">
        <v>140500000</v>
      </c>
      <c r="K48" s="13">
        <f t="shared" si="3"/>
        <v>0</v>
      </c>
      <c r="L48" s="13">
        <v>108610218.84</v>
      </c>
      <c r="M48" s="13">
        <v>0</v>
      </c>
      <c r="N48" s="13">
        <f t="shared" si="4"/>
        <v>-108610218.84</v>
      </c>
      <c r="O48" s="14">
        <v>77</v>
      </c>
      <c r="P48" s="14">
        <v>0</v>
      </c>
      <c r="Q48" s="14">
        <f t="shared" si="5"/>
        <v>-77</v>
      </c>
    </row>
    <row r="49" spans="1:17" s="15" customFormat="1" ht="54">
      <c r="A49" s="12" t="s">
        <v>299</v>
      </c>
      <c r="B49" s="12" t="s">
        <v>10</v>
      </c>
      <c r="C49" s="12" t="s">
        <v>212</v>
      </c>
      <c r="D49" s="12" t="s">
        <v>300</v>
      </c>
      <c r="E49" s="12" t="s">
        <v>21</v>
      </c>
      <c r="F49" s="12" t="s">
        <v>21</v>
      </c>
      <c r="G49" s="12" t="s">
        <v>22</v>
      </c>
      <c r="H49" s="12" t="s">
        <v>18</v>
      </c>
      <c r="I49" s="13">
        <v>176040000</v>
      </c>
      <c r="J49" s="13">
        <v>176040000</v>
      </c>
      <c r="K49" s="13">
        <f t="shared" si="3"/>
        <v>0</v>
      </c>
      <c r="L49" s="13">
        <v>112422793.56</v>
      </c>
      <c r="M49" s="13">
        <v>0</v>
      </c>
      <c r="N49" s="13">
        <f t="shared" si="4"/>
        <v>-112422793.56</v>
      </c>
      <c r="O49" s="14">
        <v>64</v>
      </c>
      <c r="P49" s="14">
        <v>0</v>
      </c>
      <c r="Q49" s="14">
        <f t="shared" si="5"/>
        <v>-64</v>
      </c>
    </row>
    <row r="50" spans="1:17" s="15" customFormat="1" ht="27">
      <c r="A50" s="12" t="s">
        <v>303</v>
      </c>
      <c r="B50" s="12" t="s">
        <v>10</v>
      </c>
      <c r="C50" s="12" t="s">
        <v>212</v>
      </c>
      <c r="D50" s="12" t="s">
        <v>304</v>
      </c>
      <c r="E50" s="12" t="s">
        <v>21</v>
      </c>
      <c r="F50" s="12" t="s">
        <v>21</v>
      </c>
      <c r="G50" s="12" t="s">
        <v>22</v>
      </c>
      <c r="H50" s="12" t="s">
        <v>18</v>
      </c>
      <c r="I50" s="13">
        <v>125000000</v>
      </c>
      <c r="J50" s="13">
        <v>125000000</v>
      </c>
      <c r="K50" s="13">
        <f t="shared" si="3"/>
        <v>0</v>
      </c>
      <c r="L50" s="13">
        <v>58581425.490000002</v>
      </c>
      <c r="M50" s="13">
        <v>0</v>
      </c>
      <c r="N50" s="13">
        <f t="shared" si="4"/>
        <v>-58581425.490000002</v>
      </c>
      <c r="O50" s="14">
        <v>47</v>
      </c>
      <c r="P50" s="14">
        <v>0</v>
      </c>
      <c r="Q50" s="14">
        <f t="shared" si="5"/>
        <v>-47</v>
      </c>
    </row>
    <row r="51" spans="1:17" hidden="1">
      <c r="A51" s="3" t="s">
        <v>305</v>
      </c>
      <c r="B51" s="3" t="s">
        <v>10</v>
      </c>
      <c r="C51" s="3" t="s">
        <v>80</v>
      </c>
      <c r="D51" s="3" t="s">
        <v>306</v>
      </c>
      <c r="E51" s="3" t="s">
        <v>21</v>
      </c>
      <c r="F51" s="3" t="s">
        <v>21</v>
      </c>
      <c r="G51" s="3" t="s">
        <v>18</v>
      </c>
      <c r="H51" s="3" t="s">
        <v>18</v>
      </c>
      <c r="I51" s="9">
        <v>158732000</v>
      </c>
      <c r="J51" s="9">
        <v>173000000</v>
      </c>
      <c r="K51" s="9">
        <f t="shared" si="3"/>
        <v>14268000</v>
      </c>
      <c r="L51" s="9">
        <v>0</v>
      </c>
      <c r="M51" s="9">
        <v>0</v>
      </c>
      <c r="N51" s="9">
        <f t="shared" si="4"/>
        <v>0</v>
      </c>
      <c r="O51" s="10">
        <v>0</v>
      </c>
      <c r="P51" s="10">
        <v>0</v>
      </c>
      <c r="Q51" s="10">
        <f t="shared" si="5"/>
        <v>0</v>
      </c>
    </row>
    <row r="52" spans="1:17" s="15" customFormat="1" ht="27">
      <c r="A52" s="12" t="s">
        <v>309</v>
      </c>
      <c r="B52" s="12" t="s">
        <v>10</v>
      </c>
      <c r="C52" s="12" t="s">
        <v>212</v>
      </c>
      <c r="D52" s="12" t="s">
        <v>310</v>
      </c>
      <c r="E52" s="12" t="s">
        <v>21</v>
      </c>
      <c r="F52" s="12" t="s">
        <v>21</v>
      </c>
      <c r="G52" s="12" t="s">
        <v>22</v>
      </c>
      <c r="H52" s="12" t="s">
        <v>18</v>
      </c>
      <c r="I52" s="13">
        <v>120950000</v>
      </c>
      <c r="J52" s="13">
        <v>120950000</v>
      </c>
      <c r="K52" s="13">
        <f t="shared" si="3"/>
        <v>0</v>
      </c>
      <c r="L52" s="13">
        <v>92935094.099999994</v>
      </c>
      <c r="M52" s="13">
        <v>0</v>
      </c>
      <c r="N52" s="13">
        <f t="shared" si="4"/>
        <v>-92935094.099999994</v>
      </c>
      <c r="O52" s="14">
        <v>77</v>
      </c>
      <c r="P52" s="14">
        <v>0</v>
      </c>
      <c r="Q52" s="14">
        <f t="shared" si="5"/>
        <v>-77</v>
      </c>
    </row>
    <row r="53" spans="1:17" s="15" customFormat="1" ht="27">
      <c r="A53" s="12" t="s">
        <v>311</v>
      </c>
      <c r="B53" s="12" t="s">
        <v>10</v>
      </c>
      <c r="C53" s="12" t="s">
        <v>212</v>
      </c>
      <c r="D53" s="12" t="s">
        <v>312</v>
      </c>
      <c r="E53" s="12" t="s">
        <v>21</v>
      </c>
      <c r="F53" s="12" t="s">
        <v>21</v>
      </c>
      <c r="G53" s="12" t="s">
        <v>22</v>
      </c>
      <c r="H53" s="12" t="s">
        <v>18</v>
      </c>
      <c r="I53" s="13">
        <v>197046000</v>
      </c>
      <c r="J53" s="13">
        <v>197046000</v>
      </c>
      <c r="K53" s="13">
        <f t="shared" si="3"/>
        <v>0</v>
      </c>
      <c r="L53" s="13">
        <v>165834111</v>
      </c>
      <c r="M53" s="13">
        <v>0</v>
      </c>
      <c r="N53" s="13">
        <f t="shared" si="4"/>
        <v>-165834111</v>
      </c>
      <c r="O53" s="14">
        <v>84</v>
      </c>
      <c r="P53" s="14">
        <v>0</v>
      </c>
      <c r="Q53" s="14">
        <f t="shared" si="5"/>
        <v>-84</v>
      </c>
    </row>
    <row r="54" spans="1:17" s="15" customFormat="1" ht="40.5">
      <c r="A54" s="12" t="s">
        <v>315</v>
      </c>
      <c r="B54" s="12" t="s">
        <v>10</v>
      </c>
      <c r="C54" s="12" t="s">
        <v>212</v>
      </c>
      <c r="D54" s="12" t="s">
        <v>316</v>
      </c>
      <c r="E54" s="12" t="s">
        <v>21</v>
      </c>
      <c r="F54" s="12" t="s">
        <v>21</v>
      </c>
      <c r="G54" s="12" t="s">
        <v>22</v>
      </c>
      <c r="H54" s="12" t="s">
        <v>18</v>
      </c>
      <c r="I54" s="13">
        <v>159046000</v>
      </c>
      <c r="J54" s="13">
        <v>159046000</v>
      </c>
      <c r="K54" s="13">
        <f t="shared" si="3"/>
        <v>0</v>
      </c>
      <c r="L54" s="13">
        <v>134058659.37</v>
      </c>
      <c r="M54" s="13">
        <v>0</v>
      </c>
      <c r="N54" s="13">
        <f t="shared" si="4"/>
        <v>-134058659.37</v>
      </c>
      <c r="O54" s="14">
        <v>84</v>
      </c>
      <c r="P54" s="14">
        <v>0</v>
      </c>
      <c r="Q54" s="14">
        <f t="shared" si="5"/>
        <v>-84</v>
      </c>
    </row>
    <row r="55" spans="1:17" ht="27" hidden="1">
      <c r="A55" s="3" t="s">
        <v>333</v>
      </c>
      <c r="B55" s="3" t="s">
        <v>10</v>
      </c>
      <c r="C55" s="3" t="s">
        <v>212</v>
      </c>
      <c r="D55" s="3" t="s">
        <v>334</v>
      </c>
      <c r="E55" s="3" t="s">
        <v>19</v>
      </c>
      <c r="F55" s="3" t="s">
        <v>19</v>
      </c>
      <c r="G55" s="3" t="s">
        <v>18</v>
      </c>
      <c r="H55" s="3" t="s">
        <v>20</v>
      </c>
      <c r="I55" s="9">
        <v>117600000</v>
      </c>
      <c r="J55" s="9">
        <v>117600000</v>
      </c>
      <c r="K55" s="9">
        <f t="shared" si="3"/>
        <v>0</v>
      </c>
      <c r="L55" s="9">
        <v>0</v>
      </c>
      <c r="M55" s="9">
        <v>95145559</v>
      </c>
      <c r="N55" s="9">
        <f t="shared" si="4"/>
        <v>95145559</v>
      </c>
      <c r="O55" s="10">
        <v>0</v>
      </c>
      <c r="P55" s="10">
        <v>81</v>
      </c>
      <c r="Q55" s="10">
        <f t="shared" si="5"/>
        <v>81</v>
      </c>
    </row>
    <row r="56" spans="1:17" ht="27" hidden="1">
      <c r="A56" s="3" t="s">
        <v>339</v>
      </c>
      <c r="B56" s="3" t="s">
        <v>10</v>
      </c>
      <c r="C56" s="3" t="s">
        <v>340</v>
      </c>
      <c r="D56" s="3" t="s">
        <v>341</v>
      </c>
      <c r="E56" s="3" t="s">
        <v>19</v>
      </c>
      <c r="F56" s="3" t="s">
        <v>19</v>
      </c>
      <c r="G56" s="3" t="s">
        <v>20</v>
      </c>
      <c r="H56" s="3" t="s">
        <v>20</v>
      </c>
      <c r="I56" s="9">
        <v>100904000</v>
      </c>
      <c r="J56" s="9">
        <v>100904000</v>
      </c>
      <c r="K56" s="9">
        <f t="shared" si="3"/>
        <v>0</v>
      </c>
      <c r="L56" s="9">
        <v>37296000</v>
      </c>
      <c r="M56" s="9">
        <v>37296000</v>
      </c>
      <c r="N56" s="9">
        <f t="shared" si="4"/>
        <v>0</v>
      </c>
      <c r="O56" s="10">
        <v>37</v>
      </c>
      <c r="P56" s="10">
        <v>37</v>
      </c>
      <c r="Q56" s="10">
        <f t="shared" si="5"/>
        <v>0</v>
      </c>
    </row>
  </sheetData>
  <mergeCells count="2">
    <mergeCell ref="A1:Q1"/>
    <mergeCell ref="A2:Q2"/>
  </mergeCells>
  <conditionalFormatting sqref="B5:B56">
    <cfRule type="expression" dxfId="2" priority="1">
      <formula>B5="BARU DI 14 AGU"</formula>
    </cfRule>
    <cfRule type="expression" dxfId="1" priority="2">
      <formula>B5="TIDAK MUNCUL DI 14 AGU"</formula>
    </cfRule>
    <cfRule type="expression" dxfId="0" priority="3">
      <formula>B5="BERUBAH"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2"/>
  <sheetViews>
    <sheetView topLeftCell="A90" workbookViewId="0">
      <selection activeCell="A108" sqref="A108"/>
    </sheetView>
  </sheetViews>
  <sheetFormatPr defaultRowHeight="13.5"/>
  <cols>
    <col min="1" max="1" width="13" style="2" customWidth="1"/>
    <col min="2" max="2" width="30" style="2" customWidth="1"/>
    <col min="3" max="3" width="24" style="2" customWidth="1"/>
    <col min="4" max="4" width="42" style="2" customWidth="1"/>
    <col min="5" max="5" width="20" style="2" customWidth="1"/>
    <col min="6" max="6" width="22" style="2" customWidth="1"/>
    <col min="7" max="8" width="18" style="2" customWidth="1"/>
    <col min="9" max="9" width="15" style="2" customWidth="1"/>
    <col min="10" max="10" width="18" style="2" customWidth="1"/>
    <col min="11" max="11" width="44" style="2" customWidth="1"/>
    <col min="12" max="12" width="36" style="2" customWidth="1"/>
    <col min="13" max="16384" width="9" style="2"/>
  </cols>
  <sheetData>
    <row r="1" spans="1:12" ht="17.649999999999999">
      <c r="A1" s="22" t="s">
        <v>362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>
      <c r="A2" s="2" t="s">
        <v>363</v>
      </c>
    </row>
    <row r="3" spans="1:12" ht="13.9">
      <c r="A3" s="1" t="s">
        <v>33</v>
      </c>
      <c r="B3" s="1" t="s">
        <v>364</v>
      </c>
      <c r="C3" s="1" t="s">
        <v>365</v>
      </c>
      <c r="D3" s="1" t="s">
        <v>35</v>
      </c>
      <c r="E3" s="1" t="s">
        <v>17</v>
      </c>
      <c r="F3" s="1" t="s">
        <v>15</v>
      </c>
      <c r="G3" s="1" t="s">
        <v>70</v>
      </c>
      <c r="H3" s="1" t="s">
        <v>366</v>
      </c>
      <c r="I3" s="1" t="s">
        <v>367</v>
      </c>
      <c r="J3" s="1" t="s">
        <v>368</v>
      </c>
      <c r="K3" s="1" t="s">
        <v>369</v>
      </c>
      <c r="L3" s="1" t="s">
        <v>370</v>
      </c>
    </row>
    <row r="4" spans="1:12" ht="27">
      <c r="A4" s="3" t="s">
        <v>47</v>
      </c>
      <c r="B4" s="3" t="s">
        <v>371</v>
      </c>
      <c r="C4" s="3" t="s">
        <v>372</v>
      </c>
      <c r="D4" s="3" t="s">
        <v>48</v>
      </c>
      <c r="E4" s="3" t="s">
        <v>19</v>
      </c>
      <c r="F4" s="3" t="s">
        <v>20</v>
      </c>
      <c r="G4" s="9">
        <v>300000000</v>
      </c>
      <c r="H4" s="9">
        <v>299999700</v>
      </c>
      <c r="I4" s="10">
        <v>100</v>
      </c>
      <c r="J4" s="3" t="s">
        <v>373</v>
      </c>
      <c r="K4" s="3" t="s">
        <v>374</v>
      </c>
      <c r="L4" s="3" t="s">
        <v>375</v>
      </c>
    </row>
    <row r="5" spans="1:12" ht="27">
      <c r="A5" s="3" t="s">
        <v>57</v>
      </c>
      <c r="B5" s="3" t="s">
        <v>371</v>
      </c>
      <c r="C5" s="3" t="s">
        <v>372</v>
      </c>
      <c r="D5" s="3" t="s">
        <v>58</v>
      </c>
      <c r="E5" s="3" t="s">
        <v>19</v>
      </c>
      <c r="F5" s="3" t="s">
        <v>20</v>
      </c>
      <c r="G5" s="9">
        <v>743952000</v>
      </c>
      <c r="H5" s="9">
        <v>743882568</v>
      </c>
      <c r="I5" s="10">
        <v>100</v>
      </c>
      <c r="J5" s="3" t="s">
        <v>373</v>
      </c>
      <c r="K5" s="3" t="s">
        <v>376</v>
      </c>
      <c r="L5" s="3" t="s">
        <v>377</v>
      </c>
    </row>
    <row r="6" spans="1:12" ht="27">
      <c r="A6" s="3" t="s">
        <v>63</v>
      </c>
      <c r="B6" s="3" t="s">
        <v>371</v>
      </c>
      <c r="C6" s="3" t="s">
        <v>372</v>
      </c>
      <c r="D6" s="3" t="s">
        <v>64</v>
      </c>
      <c r="E6" s="3" t="s">
        <v>19</v>
      </c>
      <c r="F6" s="3" t="s">
        <v>18</v>
      </c>
      <c r="G6" s="9">
        <v>4800000</v>
      </c>
      <c r="H6" s="9">
        <v>0</v>
      </c>
      <c r="I6" s="10">
        <v>0</v>
      </c>
      <c r="J6" s="3" t="s">
        <v>373</v>
      </c>
      <c r="K6" s="3" t="s">
        <v>378</v>
      </c>
      <c r="L6" s="3" t="s">
        <v>377</v>
      </c>
    </row>
    <row r="7" spans="1:12" ht="27">
      <c r="A7" s="3" t="s">
        <v>65</v>
      </c>
      <c r="B7" s="3" t="s">
        <v>371</v>
      </c>
      <c r="C7" s="3" t="s">
        <v>372</v>
      </c>
      <c r="D7" s="3" t="s">
        <v>66</v>
      </c>
      <c r="E7" s="3" t="s">
        <v>19</v>
      </c>
      <c r="F7" s="3" t="s">
        <v>20</v>
      </c>
      <c r="G7" s="9">
        <v>253440000</v>
      </c>
      <c r="H7" s="9">
        <v>247104000</v>
      </c>
      <c r="I7" s="10">
        <v>98</v>
      </c>
      <c r="J7" s="3" t="s">
        <v>373</v>
      </c>
      <c r="K7" s="3" t="s">
        <v>378</v>
      </c>
      <c r="L7" s="3" t="s">
        <v>377</v>
      </c>
    </row>
    <row r="8" spans="1:12" ht="27">
      <c r="A8" s="3" t="s">
        <v>79</v>
      </c>
      <c r="B8" s="3" t="s">
        <v>371</v>
      </c>
      <c r="C8" s="3" t="s">
        <v>372</v>
      </c>
      <c r="D8" s="3" t="s">
        <v>229</v>
      </c>
      <c r="E8" s="3" t="s">
        <v>19</v>
      </c>
      <c r="F8" s="3" t="s">
        <v>18</v>
      </c>
      <c r="G8" s="9">
        <v>96000000</v>
      </c>
      <c r="H8" s="9">
        <v>0</v>
      </c>
      <c r="I8" s="10">
        <v>0</v>
      </c>
      <c r="J8" s="3" t="s">
        <v>373</v>
      </c>
      <c r="K8" s="3" t="s">
        <v>378</v>
      </c>
      <c r="L8" s="3" t="s">
        <v>377</v>
      </c>
    </row>
    <row r="9" spans="1:12" ht="27">
      <c r="A9" s="3" t="s">
        <v>82</v>
      </c>
      <c r="B9" s="3" t="s">
        <v>371</v>
      </c>
      <c r="C9" s="3" t="s">
        <v>372</v>
      </c>
      <c r="D9" s="3" t="s">
        <v>83</v>
      </c>
      <c r="E9" s="3" t="s">
        <v>19</v>
      </c>
      <c r="F9" s="3" t="s">
        <v>18</v>
      </c>
      <c r="G9" s="9">
        <v>105600000</v>
      </c>
      <c r="H9" s="9">
        <v>0</v>
      </c>
      <c r="I9" s="10">
        <v>0</v>
      </c>
      <c r="J9" s="3" t="s">
        <v>373</v>
      </c>
      <c r="K9" s="3" t="s">
        <v>378</v>
      </c>
      <c r="L9" s="3" t="s">
        <v>377</v>
      </c>
    </row>
    <row r="10" spans="1:12" ht="27">
      <c r="A10" s="3" t="s">
        <v>88</v>
      </c>
      <c r="B10" s="3" t="s">
        <v>371</v>
      </c>
      <c r="C10" s="3" t="s">
        <v>372</v>
      </c>
      <c r="D10" s="3" t="s">
        <v>89</v>
      </c>
      <c r="E10" s="3" t="s">
        <v>19</v>
      </c>
      <c r="F10" s="3" t="s">
        <v>24</v>
      </c>
      <c r="G10" s="9">
        <v>72000000</v>
      </c>
      <c r="H10" s="9">
        <v>71757504</v>
      </c>
      <c r="I10" s="10">
        <v>100</v>
      </c>
      <c r="J10" s="3" t="s">
        <v>373</v>
      </c>
      <c r="K10" s="3" t="s">
        <v>378</v>
      </c>
      <c r="L10" s="3" t="s">
        <v>377</v>
      </c>
    </row>
    <row r="11" spans="1:12" ht="27">
      <c r="A11" s="3" t="s">
        <v>90</v>
      </c>
      <c r="B11" s="3" t="s">
        <v>371</v>
      </c>
      <c r="C11" s="3" t="s">
        <v>372</v>
      </c>
      <c r="D11" s="3" t="s">
        <v>91</v>
      </c>
      <c r="E11" s="3" t="s">
        <v>19</v>
      </c>
      <c r="F11" s="3" t="s">
        <v>18</v>
      </c>
      <c r="G11" s="9">
        <v>168000000</v>
      </c>
      <c r="H11" s="9">
        <v>0</v>
      </c>
      <c r="I11" s="10">
        <v>0</v>
      </c>
      <c r="J11" s="3" t="s">
        <v>373</v>
      </c>
      <c r="K11" s="3" t="s">
        <v>378</v>
      </c>
      <c r="L11" s="3" t="s">
        <v>377</v>
      </c>
    </row>
    <row r="12" spans="1:12" ht="27">
      <c r="A12" s="3" t="s">
        <v>132</v>
      </c>
      <c r="B12" s="3" t="s">
        <v>371</v>
      </c>
      <c r="C12" s="3" t="s">
        <v>372</v>
      </c>
      <c r="D12" s="3" t="s">
        <v>133</v>
      </c>
      <c r="E12" s="3" t="s">
        <v>19</v>
      </c>
      <c r="F12" s="3" t="s">
        <v>22</v>
      </c>
      <c r="G12" s="9">
        <v>145600000</v>
      </c>
      <c r="H12" s="9">
        <v>39177600</v>
      </c>
      <c r="I12" s="10">
        <v>27</v>
      </c>
      <c r="J12" s="3" t="s">
        <v>373</v>
      </c>
      <c r="K12" s="3" t="s">
        <v>378</v>
      </c>
      <c r="L12" s="3" t="s">
        <v>377</v>
      </c>
    </row>
    <row r="13" spans="1:12" ht="27">
      <c r="A13" s="3" t="s">
        <v>137</v>
      </c>
      <c r="B13" s="3" t="s">
        <v>371</v>
      </c>
      <c r="C13" s="3" t="s">
        <v>372</v>
      </c>
      <c r="D13" s="3" t="s">
        <v>138</v>
      </c>
      <c r="E13" s="3" t="s">
        <v>19</v>
      </c>
      <c r="F13" s="3" t="s">
        <v>18</v>
      </c>
      <c r="G13" s="9">
        <v>38400000</v>
      </c>
      <c r="H13" s="9">
        <v>0</v>
      </c>
      <c r="I13" s="10">
        <v>0</v>
      </c>
      <c r="J13" s="3" t="s">
        <v>373</v>
      </c>
      <c r="K13" s="3" t="s">
        <v>378</v>
      </c>
      <c r="L13" s="3" t="s">
        <v>377</v>
      </c>
    </row>
    <row r="14" spans="1:12" ht="27">
      <c r="A14" s="3" t="s">
        <v>165</v>
      </c>
      <c r="B14" s="3" t="s">
        <v>371</v>
      </c>
      <c r="C14" s="3" t="s">
        <v>372</v>
      </c>
      <c r="D14" s="3" t="s">
        <v>166</v>
      </c>
      <c r="E14" s="3" t="s">
        <v>19</v>
      </c>
      <c r="F14" s="3" t="s">
        <v>18</v>
      </c>
      <c r="G14" s="9">
        <v>67200000</v>
      </c>
      <c r="H14" s="9">
        <v>0</v>
      </c>
      <c r="I14" s="10">
        <v>0</v>
      </c>
      <c r="J14" s="3" t="s">
        <v>373</v>
      </c>
      <c r="K14" s="3" t="s">
        <v>379</v>
      </c>
      <c r="L14" s="3" t="s">
        <v>380</v>
      </c>
    </row>
    <row r="15" spans="1:12" ht="27">
      <c r="A15" s="3" t="s">
        <v>187</v>
      </c>
      <c r="B15" s="3" t="s">
        <v>371</v>
      </c>
      <c r="C15" s="3" t="s">
        <v>372</v>
      </c>
      <c r="D15" s="3" t="s">
        <v>188</v>
      </c>
      <c r="E15" s="3" t="s">
        <v>19</v>
      </c>
      <c r="F15" s="3" t="s">
        <v>18</v>
      </c>
      <c r="G15" s="9">
        <v>3000000</v>
      </c>
      <c r="H15" s="9">
        <v>0</v>
      </c>
      <c r="I15" s="10">
        <v>0</v>
      </c>
      <c r="J15" s="3" t="s">
        <v>373</v>
      </c>
      <c r="K15" s="3" t="s">
        <v>379</v>
      </c>
      <c r="L15" s="3" t="s">
        <v>380</v>
      </c>
    </row>
    <row r="16" spans="1:12" ht="27">
      <c r="A16" s="3" t="s">
        <v>189</v>
      </c>
      <c r="B16" s="3" t="s">
        <v>371</v>
      </c>
      <c r="C16" s="3" t="s">
        <v>372</v>
      </c>
      <c r="D16" s="3" t="s">
        <v>190</v>
      </c>
      <c r="E16" s="3" t="s">
        <v>19</v>
      </c>
      <c r="F16" s="3" t="s">
        <v>18</v>
      </c>
      <c r="G16" s="9">
        <v>5871000</v>
      </c>
      <c r="H16" s="9">
        <v>0</v>
      </c>
      <c r="I16" s="10">
        <v>0</v>
      </c>
      <c r="J16" s="3" t="s">
        <v>373</v>
      </c>
      <c r="K16" s="3" t="s">
        <v>379</v>
      </c>
      <c r="L16" s="3" t="s">
        <v>380</v>
      </c>
    </row>
    <row r="17" spans="1:12" ht="27">
      <c r="A17" s="3" t="s">
        <v>198</v>
      </c>
      <c r="B17" s="3" t="s">
        <v>371</v>
      </c>
      <c r="C17" s="3" t="s">
        <v>372</v>
      </c>
      <c r="D17" s="3" t="s">
        <v>381</v>
      </c>
      <c r="E17" s="3" t="s">
        <v>19</v>
      </c>
      <c r="F17" s="3" t="s">
        <v>18</v>
      </c>
      <c r="G17" s="9">
        <v>321410000</v>
      </c>
      <c r="H17" s="9">
        <v>0</v>
      </c>
      <c r="I17" s="10">
        <v>0</v>
      </c>
      <c r="J17" s="3" t="s">
        <v>373</v>
      </c>
      <c r="K17" s="3" t="s">
        <v>382</v>
      </c>
      <c r="L17" s="3" t="s">
        <v>383</v>
      </c>
    </row>
    <row r="18" spans="1:12" ht="27">
      <c r="A18" s="3" t="s">
        <v>201</v>
      </c>
      <c r="B18" s="3" t="s">
        <v>371</v>
      </c>
      <c r="C18" s="3" t="s">
        <v>372</v>
      </c>
      <c r="D18" s="3" t="s">
        <v>202</v>
      </c>
      <c r="E18" s="3" t="s">
        <v>19</v>
      </c>
      <c r="F18" s="3" t="s">
        <v>18</v>
      </c>
      <c r="G18" s="9">
        <v>34020000</v>
      </c>
      <c r="H18" s="9">
        <v>0</v>
      </c>
      <c r="I18" s="10">
        <v>0</v>
      </c>
      <c r="J18" s="3" t="s">
        <v>373</v>
      </c>
      <c r="K18" s="3" t="s">
        <v>382</v>
      </c>
      <c r="L18" s="3" t="s">
        <v>383</v>
      </c>
    </row>
    <row r="19" spans="1:12" ht="27">
      <c r="A19" s="3" t="s">
        <v>203</v>
      </c>
      <c r="B19" s="3" t="s">
        <v>371</v>
      </c>
      <c r="C19" s="3" t="s">
        <v>372</v>
      </c>
      <c r="D19" s="3" t="s">
        <v>204</v>
      </c>
      <c r="E19" s="3" t="s">
        <v>19</v>
      </c>
      <c r="F19" s="3" t="s">
        <v>18</v>
      </c>
      <c r="G19" s="9">
        <v>17920000</v>
      </c>
      <c r="H19" s="9">
        <v>0</v>
      </c>
      <c r="I19" s="10">
        <v>0</v>
      </c>
      <c r="J19" s="3" t="s">
        <v>373</v>
      </c>
      <c r="K19" s="3" t="s">
        <v>384</v>
      </c>
      <c r="L19" s="3" t="s">
        <v>383</v>
      </c>
    </row>
    <row r="20" spans="1:12" ht="27">
      <c r="A20" s="3" t="s">
        <v>205</v>
      </c>
      <c r="B20" s="3" t="s">
        <v>371</v>
      </c>
      <c r="C20" s="3" t="s">
        <v>372</v>
      </c>
      <c r="D20" s="3" t="s">
        <v>206</v>
      </c>
      <c r="E20" s="3" t="s">
        <v>19</v>
      </c>
      <c r="F20" s="3" t="s">
        <v>18</v>
      </c>
      <c r="G20" s="9">
        <v>82730000</v>
      </c>
      <c r="H20" s="9">
        <v>0</v>
      </c>
      <c r="I20" s="10">
        <v>0</v>
      </c>
      <c r="J20" s="3" t="s">
        <v>373</v>
      </c>
      <c r="K20" s="3" t="s">
        <v>382</v>
      </c>
      <c r="L20" s="3" t="s">
        <v>383</v>
      </c>
    </row>
    <row r="21" spans="1:12" ht="27">
      <c r="A21" s="3" t="s">
        <v>207</v>
      </c>
      <c r="B21" s="3" t="s">
        <v>371</v>
      </c>
      <c r="C21" s="3" t="s">
        <v>372</v>
      </c>
      <c r="D21" s="3" t="s">
        <v>208</v>
      </c>
      <c r="E21" s="3" t="s">
        <v>19</v>
      </c>
      <c r="F21" s="3" t="s">
        <v>18</v>
      </c>
      <c r="G21" s="9">
        <v>31680000</v>
      </c>
      <c r="H21" s="9">
        <v>0</v>
      </c>
      <c r="I21" s="10">
        <v>0</v>
      </c>
      <c r="J21" s="3" t="s">
        <v>373</v>
      </c>
      <c r="K21" s="3" t="s">
        <v>384</v>
      </c>
      <c r="L21" s="3" t="s">
        <v>383</v>
      </c>
    </row>
    <row r="22" spans="1:12" ht="27">
      <c r="A22" s="3" t="s">
        <v>216</v>
      </c>
      <c r="B22" s="3" t="s">
        <v>371</v>
      </c>
      <c r="C22" s="3" t="s">
        <v>372</v>
      </c>
      <c r="D22" s="3" t="s">
        <v>217</v>
      </c>
      <c r="E22" s="3" t="s">
        <v>19</v>
      </c>
      <c r="F22" s="3" t="s">
        <v>18</v>
      </c>
      <c r="G22" s="9">
        <v>14400000</v>
      </c>
      <c r="H22" s="9">
        <v>0</v>
      </c>
      <c r="I22" s="10">
        <v>0</v>
      </c>
      <c r="J22" s="3" t="s">
        <v>373</v>
      </c>
      <c r="K22" s="3" t="s">
        <v>385</v>
      </c>
      <c r="L22" s="3" t="s">
        <v>45</v>
      </c>
    </row>
    <row r="23" spans="1:12" ht="27">
      <c r="A23" s="3" t="s">
        <v>224</v>
      </c>
      <c r="B23" s="3" t="s">
        <v>371</v>
      </c>
      <c r="C23" s="3" t="s">
        <v>372</v>
      </c>
      <c r="D23" s="3" t="s">
        <v>225</v>
      </c>
      <c r="E23" s="3" t="s">
        <v>19</v>
      </c>
      <c r="F23" s="3" t="s">
        <v>18</v>
      </c>
      <c r="G23" s="9">
        <v>27520000</v>
      </c>
      <c r="H23" s="9">
        <v>0</v>
      </c>
      <c r="I23" s="10">
        <v>0</v>
      </c>
      <c r="J23" s="3" t="s">
        <v>373</v>
      </c>
      <c r="K23" s="3" t="s">
        <v>385</v>
      </c>
      <c r="L23" s="3" t="s">
        <v>45</v>
      </c>
    </row>
    <row r="24" spans="1:12" ht="27">
      <c r="A24" s="3" t="s">
        <v>228</v>
      </c>
      <c r="B24" s="3" t="s">
        <v>371</v>
      </c>
      <c r="C24" s="3" t="s">
        <v>372</v>
      </c>
      <c r="D24" s="3" t="s">
        <v>229</v>
      </c>
      <c r="E24" s="3" t="s">
        <v>19</v>
      </c>
      <c r="F24" s="3" t="s">
        <v>18</v>
      </c>
      <c r="G24" s="9">
        <v>7680000</v>
      </c>
      <c r="H24" s="9">
        <v>0</v>
      </c>
      <c r="I24" s="10">
        <v>0</v>
      </c>
      <c r="J24" s="3" t="s">
        <v>373</v>
      </c>
      <c r="K24" s="3" t="s">
        <v>386</v>
      </c>
      <c r="L24" s="3" t="s">
        <v>45</v>
      </c>
    </row>
    <row r="25" spans="1:12" ht="27">
      <c r="A25" s="3" t="s">
        <v>230</v>
      </c>
      <c r="B25" s="3" t="s">
        <v>371</v>
      </c>
      <c r="C25" s="3" t="s">
        <v>372</v>
      </c>
      <c r="D25" s="3" t="s">
        <v>231</v>
      </c>
      <c r="E25" s="3" t="s">
        <v>19</v>
      </c>
      <c r="F25" s="3" t="s">
        <v>18</v>
      </c>
      <c r="G25" s="9">
        <v>28800000</v>
      </c>
      <c r="H25" s="9">
        <v>0</v>
      </c>
      <c r="I25" s="10">
        <v>0</v>
      </c>
      <c r="J25" s="3" t="s">
        <v>373</v>
      </c>
      <c r="K25" s="3" t="s">
        <v>386</v>
      </c>
      <c r="L25" s="3" t="s">
        <v>45</v>
      </c>
    </row>
    <row r="26" spans="1:12" ht="27">
      <c r="A26" s="3" t="s">
        <v>234</v>
      </c>
      <c r="B26" s="3" t="s">
        <v>371</v>
      </c>
      <c r="C26" s="3" t="s">
        <v>372</v>
      </c>
      <c r="D26" s="3" t="s">
        <v>235</v>
      </c>
      <c r="E26" s="3" t="s">
        <v>19</v>
      </c>
      <c r="F26" s="3" t="s">
        <v>18</v>
      </c>
      <c r="G26" s="9">
        <v>10441000</v>
      </c>
      <c r="H26" s="9">
        <v>0</v>
      </c>
      <c r="I26" s="10">
        <v>0</v>
      </c>
      <c r="J26" s="3" t="s">
        <v>373</v>
      </c>
      <c r="K26" s="3" t="s">
        <v>387</v>
      </c>
      <c r="L26" s="3" t="s">
        <v>45</v>
      </c>
    </row>
    <row r="27" spans="1:12" ht="27">
      <c r="A27" s="3" t="s">
        <v>238</v>
      </c>
      <c r="B27" s="3" t="s">
        <v>371</v>
      </c>
      <c r="C27" s="3" t="s">
        <v>372</v>
      </c>
      <c r="D27" s="3" t="s">
        <v>388</v>
      </c>
      <c r="E27" s="3" t="s">
        <v>19</v>
      </c>
      <c r="F27" s="3" t="s">
        <v>22</v>
      </c>
      <c r="G27" s="9">
        <v>6330000</v>
      </c>
      <c r="H27" s="9">
        <v>6164812</v>
      </c>
      <c r="I27" s="10">
        <v>97</v>
      </c>
      <c r="J27" s="3" t="s">
        <v>373</v>
      </c>
      <c r="K27" s="3" t="s">
        <v>389</v>
      </c>
      <c r="L27" s="3" t="s">
        <v>45</v>
      </c>
    </row>
    <row r="28" spans="1:12" ht="27">
      <c r="A28" s="3" t="s">
        <v>241</v>
      </c>
      <c r="B28" s="3" t="s">
        <v>371</v>
      </c>
      <c r="C28" s="3" t="s">
        <v>372</v>
      </c>
      <c r="D28" s="3" t="s">
        <v>242</v>
      </c>
      <c r="E28" s="3" t="s">
        <v>19</v>
      </c>
      <c r="F28" s="3" t="s">
        <v>24</v>
      </c>
      <c r="G28" s="9">
        <v>10080000</v>
      </c>
      <c r="H28" s="9">
        <v>7176000</v>
      </c>
      <c r="I28" s="10">
        <v>71</v>
      </c>
      <c r="J28" s="3" t="s">
        <v>373</v>
      </c>
      <c r="K28" s="3" t="s">
        <v>390</v>
      </c>
      <c r="L28" s="3" t="s">
        <v>45</v>
      </c>
    </row>
    <row r="29" spans="1:12" ht="27">
      <c r="A29" s="3" t="s">
        <v>247</v>
      </c>
      <c r="B29" s="3" t="s">
        <v>371</v>
      </c>
      <c r="C29" s="3" t="s">
        <v>372</v>
      </c>
      <c r="D29" s="3" t="s">
        <v>249</v>
      </c>
      <c r="E29" s="3" t="s">
        <v>19</v>
      </c>
      <c r="F29" s="3" t="s">
        <v>20</v>
      </c>
      <c r="G29" s="9">
        <v>3200040000</v>
      </c>
      <c r="H29" s="9">
        <v>2984279816</v>
      </c>
      <c r="I29" s="10">
        <v>93</v>
      </c>
      <c r="J29" s="3" t="s">
        <v>373</v>
      </c>
      <c r="K29" s="3" t="s">
        <v>391</v>
      </c>
      <c r="L29" s="3" t="s">
        <v>45</v>
      </c>
    </row>
    <row r="30" spans="1:12" ht="27">
      <c r="A30" s="3" t="s">
        <v>260</v>
      </c>
      <c r="B30" s="3" t="s">
        <v>371</v>
      </c>
      <c r="C30" s="3" t="s">
        <v>372</v>
      </c>
      <c r="D30" s="3" t="s">
        <v>261</v>
      </c>
      <c r="E30" s="3" t="s">
        <v>19</v>
      </c>
      <c r="F30" s="3" t="s">
        <v>24</v>
      </c>
      <c r="G30" s="9">
        <v>120000000</v>
      </c>
      <c r="H30" s="9">
        <v>119200680</v>
      </c>
      <c r="I30" s="10">
        <v>99</v>
      </c>
      <c r="J30" s="3" t="s">
        <v>373</v>
      </c>
      <c r="K30" s="3" t="s">
        <v>392</v>
      </c>
      <c r="L30" s="3" t="s">
        <v>393</v>
      </c>
    </row>
    <row r="31" spans="1:12" ht="27">
      <c r="A31" s="3" t="s">
        <v>262</v>
      </c>
      <c r="B31" s="3" t="s">
        <v>371</v>
      </c>
      <c r="C31" s="3" t="s">
        <v>372</v>
      </c>
      <c r="D31" s="3" t="s">
        <v>263</v>
      </c>
      <c r="E31" s="3" t="s">
        <v>19</v>
      </c>
      <c r="F31" s="3" t="s">
        <v>22</v>
      </c>
      <c r="G31" s="9">
        <v>36000000</v>
      </c>
      <c r="H31" s="9">
        <v>35760204</v>
      </c>
      <c r="I31" s="10">
        <v>99</v>
      </c>
      <c r="J31" s="3" t="s">
        <v>373</v>
      </c>
      <c r="K31" s="3" t="s">
        <v>392</v>
      </c>
      <c r="L31" s="3" t="s">
        <v>393</v>
      </c>
    </row>
    <row r="32" spans="1:12" ht="27">
      <c r="A32" s="3" t="s">
        <v>268</v>
      </c>
      <c r="B32" s="3" t="s">
        <v>371</v>
      </c>
      <c r="C32" s="3" t="s">
        <v>372</v>
      </c>
      <c r="D32" s="3" t="s">
        <v>269</v>
      </c>
      <c r="E32" s="3" t="s">
        <v>19</v>
      </c>
      <c r="F32" s="3" t="s">
        <v>18</v>
      </c>
      <c r="G32" s="9">
        <v>119760000</v>
      </c>
      <c r="H32" s="9">
        <v>0</v>
      </c>
      <c r="I32" s="10">
        <v>0</v>
      </c>
      <c r="J32" s="3" t="s">
        <v>373</v>
      </c>
      <c r="K32" s="3" t="s">
        <v>394</v>
      </c>
      <c r="L32" s="3" t="s">
        <v>45</v>
      </c>
    </row>
    <row r="33" spans="1:12" ht="27">
      <c r="A33" s="3" t="s">
        <v>319</v>
      </c>
      <c r="B33" s="3" t="s">
        <v>371</v>
      </c>
      <c r="C33" s="3" t="s">
        <v>372</v>
      </c>
      <c r="D33" s="3" t="s">
        <v>320</v>
      </c>
      <c r="E33" s="3" t="s">
        <v>19</v>
      </c>
      <c r="F33" s="3" t="s">
        <v>20</v>
      </c>
      <c r="G33" s="9">
        <v>218560000</v>
      </c>
      <c r="H33" s="9">
        <v>217661400</v>
      </c>
      <c r="I33" s="10">
        <v>100</v>
      </c>
      <c r="J33" s="3" t="s">
        <v>373</v>
      </c>
      <c r="K33" s="3" t="s">
        <v>395</v>
      </c>
      <c r="L33" s="3" t="s">
        <v>45</v>
      </c>
    </row>
    <row r="34" spans="1:12" ht="27">
      <c r="A34" s="3" t="s">
        <v>321</v>
      </c>
      <c r="B34" s="3" t="s">
        <v>371</v>
      </c>
      <c r="C34" s="3" t="s">
        <v>372</v>
      </c>
      <c r="D34" s="3" t="s">
        <v>322</v>
      </c>
      <c r="E34" s="3" t="s">
        <v>19</v>
      </c>
      <c r="F34" s="3" t="s">
        <v>20</v>
      </c>
      <c r="G34" s="9">
        <v>86080000</v>
      </c>
      <c r="H34" s="9">
        <v>96386400</v>
      </c>
      <c r="I34" s="10">
        <v>112</v>
      </c>
      <c r="J34" s="3" t="s">
        <v>373</v>
      </c>
      <c r="K34" s="3" t="s">
        <v>396</v>
      </c>
      <c r="L34" s="3" t="s">
        <v>45</v>
      </c>
    </row>
    <row r="35" spans="1:12" ht="27">
      <c r="A35" s="3" t="s">
        <v>323</v>
      </c>
      <c r="B35" s="3" t="s">
        <v>371</v>
      </c>
      <c r="C35" s="3" t="s">
        <v>372</v>
      </c>
      <c r="D35" s="3" t="s">
        <v>324</v>
      </c>
      <c r="E35" s="3" t="s">
        <v>19</v>
      </c>
      <c r="F35" s="3" t="s">
        <v>20</v>
      </c>
      <c r="G35" s="9">
        <v>395840000</v>
      </c>
      <c r="H35" s="9">
        <v>240966000</v>
      </c>
      <c r="I35" s="10">
        <v>61</v>
      </c>
      <c r="J35" s="3" t="s">
        <v>373</v>
      </c>
      <c r="K35" s="3" t="s">
        <v>397</v>
      </c>
      <c r="L35" s="3" t="s">
        <v>45</v>
      </c>
    </row>
    <row r="36" spans="1:12" ht="27">
      <c r="A36" s="3" t="s">
        <v>325</v>
      </c>
      <c r="B36" s="3" t="s">
        <v>371</v>
      </c>
      <c r="C36" s="3" t="s">
        <v>372</v>
      </c>
      <c r="D36" s="3" t="s">
        <v>326</v>
      </c>
      <c r="E36" s="3" t="s">
        <v>19</v>
      </c>
      <c r="F36" s="3" t="s">
        <v>20</v>
      </c>
      <c r="G36" s="9">
        <v>405120000</v>
      </c>
      <c r="H36" s="9">
        <v>226828800</v>
      </c>
      <c r="I36" s="10">
        <v>56</v>
      </c>
      <c r="J36" s="3" t="s">
        <v>373</v>
      </c>
      <c r="K36" s="3" t="s">
        <v>398</v>
      </c>
      <c r="L36" s="3" t="s">
        <v>45</v>
      </c>
    </row>
    <row r="37" spans="1:12" ht="27">
      <c r="A37" s="3" t="s">
        <v>327</v>
      </c>
      <c r="B37" s="3" t="s">
        <v>371</v>
      </c>
      <c r="C37" s="3" t="s">
        <v>372</v>
      </c>
      <c r="D37" s="3" t="s">
        <v>328</v>
      </c>
      <c r="E37" s="3" t="s">
        <v>19</v>
      </c>
      <c r="F37" s="3" t="s">
        <v>20</v>
      </c>
      <c r="G37" s="9">
        <v>192000000</v>
      </c>
      <c r="H37" s="9">
        <v>89595000</v>
      </c>
      <c r="I37" s="10">
        <v>47</v>
      </c>
      <c r="J37" s="3" t="s">
        <v>373</v>
      </c>
      <c r="K37" s="3" t="s">
        <v>399</v>
      </c>
      <c r="L37" s="3" t="s">
        <v>45</v>
      </c>
    </row>
    <row r="38" spans="1:12" ht="27">
      <c r="A38" s="3" t="s">
        <v>331</v>
      </c>
      <c r="B38" s="3" t="s">
        <v>371</v>
      </c>
      <c r="C38" s="3" t="s">
        <v>372</v>
      </c>
      <c r="D38" s="3" t="s">
        <v>332</v>
      </c>
      <c r="E38" s="3" t="s">
        <v>19</v>
      </c>
      <c r="F38" s="3" t="s">
        <v>22</v>
      </c>
      <c r="G38" s="9">
        <v>33600000</v>
      </c>
      <c r="H38" s="9">
        <v>27984000</v>
      </c>
      <c r="I38" s="10">
        <v>83</v>
      </c>
      <c r="J38" s="3" t="s">
        <v>373</v>
      </c>
      <c r="K38" s="3" t="s">
        <v>399</v>
      </c>
      <c r="L38" s="3" t="s">
        <v>45</v>
      </c>
    </row>
    <row r="39" spans="1:12" ht="27">
      <c r="A39" s="3" t="s">
        <v>333</v>
      </c>
      <c r="B39" s="3" t="s">
        <v>371</v>
      </c>
      <c r="C39" s="3" t="s">
        <v>372</v>
      </c>
      <c r="D39" s="3" t="s">
        <v>334</v>
      </c>
      <c r="E39" s="3" t="s">
        <v>19</v>
      </c>
      <c r="F39" s="3" t="s">
        <v>18</v>
      </c>
      <c r="G39" s="9">
        <v>117600000</v>
      </c>
      <c r="H39" s="9">
        <v>0</v>
      </c>
      <c r="I39" s="10">
        <v>0</v>
      </c>
      <c r="J39" s="3" t="s">
        <v>373</v>
      </c>
      <c r="K39" s="3" t="s">
        <v>400</v>
      </c>
      <c r="L39" s="3" t="s">
        <v>45</v>
      </c>
    </row>
    <row r="40" spans="1:12" ht="27">
      <c r="A40" s="3" t="s">
        <v>335</v>
      </c>
      <c r="B40" s="3" t="s">
        <v>371</v>
      </c>
      <c r="C40" s="3" t="s">
        <v>372</v>
      </c>
      <c r="D40" s="3" t="s">
        <v>336</v>
      </c>
      <c r="E40" s="3" t="s">
        <v>19</v>
      </c>
      <c r="F40" s="3" t="s">
        <v>20</v>
      </c>
      <c r="G40" s="9">
        <v>79200000</v>
      </c>
      <c r="H40" s="9">
        <v>78672449</v>
      </c>
      <c r="I40" s="10">
        <v>99</v>
      </c>
      <c r="J40" s="3" t="s">
        <v>373</v>
      </c>
      <c r="K40" s="3" t="s">
        <v>400</v>
      </c>
      <c r="L40" s="3" t="s">
        <v>45</v>
      </c>
    </row>
    <row r="41" spans="1:12" ht="27">
      <c r="A41" s="3" t="s">
        <v>339</v>
      </c>
      <c r="B41" s="3" t="s">
        <v>371</v>
      </c>
      <c r="C41" s="3" t="s">
        <v>372</v>
      </c>
      <c r="D41" s="3" t="s">
        <v>341</v>
      </c>
      <c r="E41" s="3" t="s">
        <v>19</v>
      </c>
      <c r="F41" s="3" t="s">
        <v>20</v>
      </c>
      <c r="G41" s="9">
        <v>100904000</v>
      </c>
      <c r="H41" s="9">
        <v>37296000</v>
      </c>
      <c r="I41" s="10">
        <v>37</v>
      </c>
      <c r="J41" s="3" t="s">
        <v>401</v>
      </c>
      <c r="K41" s="3" t="s">
        <v>45</v>
      </c>
      <c r="L41" s="3" t="s">
        <v>45</v>
      </c>
    </row>
    <row r="42" spans="1:12" ht="27">
      <c r="A42" s="3" t="s">
        <v>44</v>
      </c>
      <c r="B42" s="3" t="s">
        <v>371</v>
      </c>
      <c r="C42" s="3" t="s">
        <v>372</v>
      </c>
      <c r="D42" s="3" t="s">
        <v>46</v>
      </c>
      <c r="E42" s="3" t="s">
        <v>21</v>
      </c>
      <c r="F42" s="3" t="s">
        <v>18</v>
      </c>
      <c r="G42" s="9">
        <v>45000000</v>
      </c>
      <c r="H42" s="9">
        <v>0</v>
      </c>
      <c r="I42" s="10">
        <v>0</v>
      </c>
      <c r="J42" s="3" t="s">
        <v>373</v>
      </c>
      <c r="K42" s="3" t="s">
        <v>402</v>
      </c>
      <c r="L42" s="3" t="s">
        <v>375</v>
      </c>
    </row>
    <row r="43" spans="1:12" ht="40.5">
      <c r="A43" s="3" t="s">
        <v>49</v>
      </c>
      <c r="B43" s="3" t="s">
        <v>371</v>
      </c>
      <c r="C43" s="3" t="s">
        <v>372</v>
      </c>
      <c r="D43" s="3" t="s">
        <v>50</v>
      </c>
      <c r="E43" s="3" t="s">
        <v>21</v>
      </c>
      <c r="F43" s="3" t="s">
        <v>18</v>
      </c>
      <c r="G43" s="9">
        <v>66000000</v>
      </c>
      <c r="H43" s="9">
        <v>0</v>
      </c>
      <c r="I43" s="10">
        <v>0</v>
      </c>
      <c r="J43" s="3" t="s">
        <v>373</v>
      </c>
      <c r="K43" s="3" t="s">
        <v>403</v>
      </c>
      <c r="L43" s="3" t="s">
        <v>404</v>
      </c>
    </row>
    <row r="44" spans="1:12" ht="27">
      <c r="A44" s="3" t="s">
        <v>51</v>
      </c>
      <c r="B44" s="3" t="s">
        <v>371</v>
      </c>
      <c r="C44" s="3" t="s">
        <v>372</v>
      </c>
      <c r="D44" s="3" t="s">
        <v>52</v>
      </c>
      <c r="E44" s="3" t="s">
        <v>21</v>
      </c>
      <c r="F44" s="3" t="s">
        <v>18</v>
      </c>
      <c r="G44" s="9">
        <v>147600000</v>
      </c>
      <c r="H44" s="9">
        <v>0</v>
      </c>
      <c r="I44" s="10">
        <v>0</v>
      </c>
      <c r="J44" s="3" t="s">
        <v>373</v>
      </c>
      <c r="K44" s="3" t="s">
        <v>402</v>
      </c>
      <c r="L44" s="3" t="s">
        <v>375</v>
      </c>
    </row>
    <row r="45" spans="1:12" ht="54">
      <c r="A45" s="3" t="s">
        <v>53</v>
      </c>
      <c r="B45" s="3" t="s">
        <v>371</v>
      </c>
      <c r="C45" s="3" t="s">
        <v>372</v>
      </c>
      <c r="D45" s="3" t="s">
        <v>54</v>
      </c>
      <c r="E45" s="3" t="s">
        <v>21</v>
      </c>
      <c r="F45" s="3" t="s">
        <v>18</v>
      </c>
      <c r="G45" s="9">
        <v>480000000</v>
      </c>
      <c r="H45" s="9">
        <v>0</v>
      </c>
      <c r="I45" s="10">
        <v>0</v>
      </c>
      <c r="J45" s="3" t="s">
        <v>405</v>
      </c>
      <c r="K45" s="3" t="s">
        <v>406</v>
      </c>
      <c r="L45" s="3" t="s">
        <v>407</v>
      </c>
    </row>
    <row r="46" spans="1:12" ht="27">
      <c r="A46" s="3" t="s">
        <v>55</v>
      </c>
      <c r="B46" s="3" t="s">
        <v>371</v>
      </c>
      <c r="C46" s="3" t="s">
        <v>372</v>
      </c>
      <c r="D46" s="3" t="s">
        <v>56</v>
      </c>
      <c r="E46" s="3" t="s">
        <v>21</v>
      </c>
      <c r="F46" s="3" t="s">
        <v>22</v>
      </c>
      <c r="G46" s="9">
        <v>90000000</v>
      </c>
      <c r="H46" s="9">
        <v>68971100</v>
      </c>
      <c r="I46" s="10">
        <v>77</v>
      </c>
      <c r="J46" s="3" t="s">
        <v>373</v>
      </c>
      <c r="K46" s="3" t="s">
        <v>402</v>
      </c>
      <c r="L46" s="3" t="s">
        <v>375</v>
      </c>
    </row>
    <row r="47" spans="1:12" ht="27">
      <c r="A47" s="3" t="s">
        <v>59</v>
      </c>
      <c r="B47" s="3" t="s">
        <v>371</v>
      </c>
      <c r="C47" s="3" t="s">
        <v>372</v>
      </c>
      <c r="D47" s="3" t="s">
        <v>60</v>
      </c>
      <c r="E47" s="3" t="s">
        <v>21</v>
      </c>
      <c r="F47" s="3" t="s">
        <v>18</v>
      </c>
      <c r="G47" s="9">
        <v>3200000</v>
      </c>
      <c r="H47" s="9">
        <v>0</v>
      </c>
      <c r="I47" s="10">
        <v>0</v>
      </c>
      <c r="J47" s="3" t="s">
        <v>373</v>
      </c>
      <c r="K47" s="3" t="s">
        <v>376</v>
      </c>
      <c r="L47" s="3" t="s">
        <v>377</v>
      </c>
    </row>
    <row r="48" spans="1:12" ht="27">
      <c r="A48" s="3" t="s">
        <v>61</v>
      </c>
      <c r="B48" s="3" t="s">
        <v>371</v>
      </c>
      <c r="C48" s="3" t="s">
        <v>372</v>
      </c>
      <c r="D48" s="3" t="s">
        <v>62</v>
      </c>
      <c r="E48" s="3" t="s">
        <v>21</v>
      </c>
      <c r="F48" s="3" t="s">
        <v>18</v>
      </c>
      <c r="G48" s="9">
        <v>52200000</v>
      </c>
      <c r="H48" s="9">
        <v>0</v>
      </c>
      <c r="I48" s="10">
        <v>0</v>
      </c>
      <c r="J48" s="3" t="s">
        <v>373</v>
      </c>
      <c r="K48" s="3" t="s">
        <v>378</v>
      </c>
      <c r="L48" s="3" t="s">
        <v>377</v>
      </c>
    </row>
    <row r="49" spans="1:12" ht="27">
      <c r="A49" s="3" t="s">
        <v>67</v>
      </c>
      <c r="B49" s="3" t="s">
        <v>371</v>
      </c>
      <c r="C49" s="3" t="s">
        <v>372</v>
      </c>
      <c r="D49" s="3" t="s">
        <v>68</v>
      </c>
      <c r="E49" s="3" t="s">
        <v>21</v>
      </c>
      <c r="F49" s="3" t="s">
        <v>18</v>
      </c>
      <c r="G49" s="9">
        <v>750000</v>
      </c>
      <c r="H49" s="9">
        <v>0</v>
      </c>
      <c r="I49" s="10">
        <v>0</v>
      </c>
      <c r="J49" s="3" t="s">
        <v>373</v>
      </c>
      <c r="K49" s="3" t="s">
        <v>378</v>
      </c>
      <c r="L49" s="3" t="s">
        <v>377</v>
      </c>
    </row>
    <row r="50" spans="1:12" ht="27">
      <c r="A50" s="3" t="s">
        <v>69</v>
      </c>
      <c r="B50" s="3" t="s">
        <v>371</v>
      </c>
      <c r="C50" s="3" t="s">
        <v>372</v>
      </c>
      <c r="D50" s="3" t="s">
        <v>71</v>
      </c>
      <c r="E50" s="3" t="s">
        <v>21</v>
      </c>
      <c r="F50" s="3" t="s">
        <v>18</v>
      </c>
      <c r="G50" s="9">
        <v>150000000</v>
      </c>
      <c r="H50" s="9">
        <v>0</v>
      </c>
      <c r="I50" s="10">
        <v>0</v>
      </c>
      <c r="J50" s="3" t="s">
        <v>373</v>
      </c>
      <c r="K50" s="3" t="s">
        <v>378</v>
      </c>
      <c r="L50" s="3" t="s">
        <v>377</v>
      </c>
    </row>
    <row r="51" spans="1:12" ht="27">
      <c r="A51" s="3" t="s">
        <v>72</v>
      </c>
      <c r="B51" s="3" t="s">
        <v>371</v>
      </c>
      <c r="C51" s="3" t="s">
        <v>372</v>
      </c>
      <c r="D51" s="3" t="s">
        <v>73</v>
      </c>
      <c r="E51" s="3" t="s">
        <v>21</v>
      </c>
      <c r="F51" s="3" t="s">
        <v>18</v>
      </c>
      <c r="G51" s="9">
        <v>4125000</v>
      </c>
      <c r="H51" s="9">
        <v>0</v>
      </c>
      <c r="I51" s="10">
        <v>0</v>
      </c>
      <c r="J51" s="3" t="s">
        <v>373</v>
      </c>
      <c r="K51" s="3" t="s">
        <v>378</v>
      </c>
      <c r="L51" s="3" t="s">
        <v>377</v>
      </c>
    </row>
    <row r="52" spans="1:12" ht="40.5">
      <c r="A52" s="3" t="s">
        <v>74</v>
      </c>
      <c r="B52" s="3" t="s">
        <v>371</v>
      </c>
      <c r="C52" s="3" t="s">
        <v>372</v>
      </c>
      <c r="D52" s="3" t="s">
        <v>76</v>
      </c>
      <c r="E52" s="3" t="s">
        <v>21</v>
      </c>
      <c r="F52" s="3" t="s">
        <v>22</v>
      </c>
      <c r="G52" s="9">
        <v>330000000</v>
      </c>
      <c r="H52" s="9">
        <v>20982889</v>
      </c>
      <c r="I52" s="10">
        <v>6</v>
      </c>
      <c r="J52" s="3" t="s">
        <v>405</v>
      </c>
      <c r="K52" s="3" t="s">
        <v>408</v>
      </c>
      <c r="L52" s="3" t="s">
        <v>409</v>
      </c>
    </row>
    <row r="53" spans="1:12" ht="27">
      <c r="A53" s="3" t="s">
        <v>77</v>
      </c>
      <c r="B53" s="3" t="s">
        <v>371</v>
      </c>
      <c r="C53" s="3" t="s">
        <v>372</v>
      </c>
      <c r="D53" s="3" t="s">
        <v>78</v>
      </c>
      <c r="E53" s="3" t="s">
        <v>21</v>
      </c>
      <c r="F53" s="3" t="s">
        <v>18</v>
      </c>
      <c r="G53" s="9">
        <v>3750000</v>
      </c>
      <c r="H53" s="9">
        <v>0</v>
      </c>
      <c r="I53" s="10">
        <v>0</v>
      </c>
      <c r="J53" s="3" t="s">
        <v>373</v>
      </c>
      <c r="K53" s="3" t="s">
        <v>378</v>
      </c>
      <c r="L53" s="3" t="s">
        <v>377</v>
      </c>
    </row>
    <row r="54" spans="1:12" ht="27">
      <c r="A54" s="3" t="s">
        <v>84</v>
      </c>
      <c r="B54" s="3" t="s">
        <v>371</v>
      </c>
      <c r="C54" s="3" t="s">
        <v>372</v>
      </c>
      <c r="D54" s="3" t="s">
        <v>85</v>
      </c>
      <c r="E54" s="3" t="s">
        <v>21</v>
      </c>
      <c r="F54" s="3" t="s">
        <v>18</v>
      </c>
      <c r="G54" s="9">
        <v>48000000</v>
      </c>
      <c r="H54" s="9">
        <v>0</v>
      </c>
      <c r="I54" s="10">
        <v>0</v>
      </c>
      <c r="J54" s="3" t="s">
        <v>373</v>
      </c>
      <c r="K54" s="3" t="s">
        <v>378</v>
      </c>
      <c r="L54" s="3" t="s">
        <v>377</v>
      </c>
    </row>
    <row r="55" spans="1:12" ht="27">
      <c r="A55" s="3" t="s">
        <v>86</v>
      </c>
      <c r="B55" s="3" t="s">
        <v>371</v>
      </c>
      <c r="C55" s="3" t="s">
        <v>372</v>
      </c>
      <c r="D55" s="3" t="s">
        <v>410</v>
      </c>
      <c r="E55" s="3" t="s">
        <v>21</v>
      </c>
      <c r="F55" s="3" t="s">
        <v>18</v>
      </c>
      <c r="G55" s="9">
        <v>44000000</v>
      </c>
      <c r="H55" s="9">
        <v>0</v>
      </c>
      <c r="I55" s="10">
        <v>0</v>
      </c>
      <c r="J55" s="3" t="s">
        <v>373</v>
      </c>
      <c r="K55" s="3" t="s">
        <v>378</v>
      </c>
      <c r="L55" s="3" t="s">
        <v>377</v>
      </c>
    </row>
    <row r="56" spans="1:12" ht="27">
      <c r="A56" s="3" t="s">
        <v>92</v>
      </c>
      <c r="B56" s="3" t="s">
        <v>371</v>
      </c>
      <c r="C56" s="3" t="s">
        <v>372</v>
      </c>
      <c r="D56" s="3" t="s">
        <v>94</v>
      </c>
      <c r="E56" s="3" t="s">
        <v>21</v>
      </c>
      <c r="F56" s="3" t="s">
        <v>18</v>
      </c>
      <c r="G56" s="9">
        <v>31544000</v>
      </c>
      <c r="H56" s="9">
        <v>0</v>
      </c>
      <c r="I56" s="10">
        <v>0</v>
      </c>
      <c r="J56" s="3" t="s">
        <v>373</v>
      </c>
      <c r="K56" s="3" t="s">
        <v>378</v>
      </c>
      <c r="L56" s="3" t="s">
        <v>377</v>
      </c>
    </row>
    <row r="57" spans="1:12" ht="27">
      <c r="A57" s="3" t="s">
        <v>95</v>
      </c>
      <c r="B57" s="3" t="s">
        <v>371</v>
      </c>
      <c r="C57" s="3" t="s">
        <v>372</v>
      </c>
      <c r="D57" s="3" t="s">
        <v>411</v>
      </c>
      <c r="E57" s="3" t="s">
        <v>21</v>
      </c>
      <c r="F57" s="3" t="s">
        <v>18</v>
      </c>
      <c r="G57" s="9">
        <v>189000000</v>
      </c>
      <c r="H57" s="9">
        <v>0</v>
      </c>
      <c r="I57" s="10">
        <v>0</v>
      </c>
      <c r="J57" s="3" t="s">
        <v>373</v>
      </c>
      <c r="K57" s="3" t="s">
        <v>378</v>
      </c>
      <c r="L57" s="3" t="s">
        <v>377</v>
      </c>
    </row>
    <row r="58" spans="1:12" ht="27">
      <c r="A58" s="3" t="s">
        <v>97</v>
      </c>
      <c r="B58" s="3" t="s">
        <v>371</v>
      </c>
      <c r="C58" s="3" t="s">
        <v>372</v>
      </c>
      <c r="D58" s="3" t="s">
        <v>98</v>
      </c>
      <c r="E58" s="3" t="s">
        <v>21</v>
      </c>
      <c r="F58" s="3" t="s">
        <v>18</v>
      </c>
      <c r="G58" s="9">
        <v>6875000</v>
      </c>
      <c r="H58" s="9">
        <v>0</v>
      </c>
      <c r="I58" s="10">
        <v>0</v>
      </c>
      <c r="J58" s="3" t="s">
        <v>373</v>
      </c>
      <c r="K58" s="3" t="s">
        <v>378</v>
      </c>
      <c r="L58" s="3" t="s">
        <v>377</v>
      </c>
    </row>
    <row r="59" spans="1:12" ht="27">
      <c r="A59" s="3" t="s">
        <v>99</v>
      </c>
      <c r="B59" s="3" t="s">
        <v>371</v>
      </c>
      <c r="C59" s="3" t="s">
        <v>372</v>
      </c>
      <c r="D59" s="3" t="s">
        <v>100</v>
      </c>
      <c r="E59" s="3" t="s">
        <v>21</v>
      </c>
      <c r="F59" s="3" t="s">
        <v>18</v>
      </c>
      <c r="G59" s="9">
        <v>4800000</v>
      </c>
      <c r="H59" s="9">
        <v>0</v>
      </c>
      <c r="I59" s="10">
        <v>0</v>
      </c>
      <c r="J59" s="3" t="s">
        <v>373</v>
      </c>
      <c r="K59" s="3" t="s">
        <v>378</v>
      </c>
      <c r="L59" s="3" t="s">
        <v>377</v>
      </c>
    </row>
    <row r="60" spans="1:12" ht="27">
      <c r="A60" s="3" t="s">
        <v>101</v>
      </c>
      <c r="B60" s="3" t="s">
        <v>371</v>
      </c>
      <c r="C60" s="3" t="s">
        <v>372</v>
      </c>
      <c r="D60" s="3" t="s">
        <v>102</v>
      </c>
      <c r="E60" s="3" t="s">
        <v>21</v>
      </c>
      <c r="F60" s="3" t="s">
        <v>18</v>
      </c>
      <c r="G60" s="9">
        <v>44000000</v>
      </c>
      <c r="H60" s="9">
        <v>0</v>
      </c>
      <c r="I60" s="10">
        <v>0</v>
      </c>
      <c r="J60" s="3" t="s">
        <v>373</v>
      </c>
      <c r="K60" s="3" t="s">
        <v>378</v>
      </c>
      <c r="L60" s="3" t="s">
        <v>377</v>
      </c>
    </row>
    <row r="61" spans="1:12" ht="27">
      <c r="A61" s="3" t="s">
        <v>103</v>
      </c>
      <c r="B61" s="3" t="s">
        <v>371</v>
      </c>
      <c r="C61" s="3" t="s">
        <v>372</v>
      </c>
      <c r="D61" s="3" t="s">
        <v>412</v>
      </c>
      <c r="E61" s="3" t="s">
        <v>21</v>
      </c>
      <c r="F61" s="3" t="s">
        <v>18</v>
      </c>
      <c r="G61" s="9">
        <v>46000000</v>
      </c>
      <c r="H61" s="9">
        <v>0</v>
      </c>
      <c r="I61" s="10">
        <v>0</v>
      </c>
      <c r="J61" s="3" t="s">
        <v>373</v>
      </c>
      <c r="K61" s="3" t="s">
        <v>378</v>
      </c>
      <c r="L61" s="3" t="s">
        <v>377</v>
      </c>
    </row>
    <row r="62" spans="1:12" ht="27">
      <c r="A62" s="3" t="s">
        <v>105</v>
      </c>
      <c r="B62" s="3" t="s">
        <v>371</v>
      </c>
      <c r="C62" s="3" t="s">
        <v>372</v>
      </c>
      <c r="D62" s="3" t="s">
        <v>106</v>
      </c>
      <c r="E62" s="3" t="s">
        <v>21</v>
      </c>
      <c r="F62" s="3" t="s">
        <v>18</v>
      </c>
      <c r="G62" s="9">
        <v>49600000</v>
      </c>
      <c r="H62" s="9">
        <v>0</v>
      </c>
      <c r="I62" s="10">
        <v>0</v>
      </c>
      <c r="J62" s="3" t="s">
        <v>373</v>
      </c>
      <c r="K62" s="3" t="s">
        <v>378</v>
      </c>
      <c r="L62" s="3" t="s">
        <v>377</v>
      </c>
    </row>
    <row r="63" spans="1:12" ht="27">
      <c r="A63" s="3" t="s">
        <v>107</v>
      </c>
      <c r="B63" s="3" t="s">
        <v>371</v>
      </c>
      <c r="C63" s="3" t="s">
        <v>372</v>
      </c>
      <c r="D63" s="3" t="s">
        <v>108</v>
      </c>
      <c r="E63" s="3" t="s">
        <v>21</v>
      </c>
      <c r="F63" s="3" t="s">
        <v>18</v>
      </c>
      <c r="G63" s="9">
        <v>140000000</v>
      </c>
      <c r="H63" s="9">
        <v>0</v>
      </c>
      <c r="I63" s="10">
        <v>0</v>
      </c>
      <c r="J63" s="3" t="s">
        <v>373</v>
      </c>
      <c r="K63" s="3" t="s">
        <v>378</v>
      </c>
      <c r="L63" s="3" t="s">
        <v>377</v>
      </c>
    </row>
    <row r="64" spans="1:12" ht="27">
      <c r="A64" s="3" t="s">
        <v>109</v>
      </c>
      <c r="B64" s="3" t="s">
        <v>371</v>
      </c>
      <c r="C64" s="3" t="s">
        <v>372</v>
      </c>
      <c r="D64" s="3" t="s">
        <v>110</v>
      </c>
      <c r="E64" s="3" t="s">
        <v>21</v>
      </c>
      <c r="F64" s="3" t="s">
        <v>18</v>
      </c>
      <c r="G64" s="9">
        <v>7750000</v>
      </c>
      <c r="H64" s="9">
        <v>0</v>
      </c>
      <c r="I64" s="10">
        <v>0</v>
      </c>
      <c r="J64" s="3" t="s">
        <v>373</v>
      </c>
      <c r="K64" s="3" t="s">
        <v>378</v>
      </c>
      <c r="L64" s="3" t="s">
        <v>377</v>
      </c>
    </row>
    <row r="65" spans="1:12" ht="27">
      <c r="A65" s="3" t="s">
        <v>111</v>
      </c>
      <c r="B65" s="3" t="s">
        <v>371</v>
      </c>
      <c r="C65" s="3" t="s">
        <v>372</v>
      </c>
      <c r="D65" s="3" t="s">
        <v>112</v>
      </c>
      <c r="E65" s="3" t="s">
        <v>21</v>
      </c>
      <c r="F65" s="3" t="s">
        <v>18</v>
      </c>
      <c r="G65" s="9">
        <v>30000000</v>
      </c>
      <c r="H65" s="9">
        <v>0</v>
      </c>
      <c r="I65" s="10">
        <v>0</v>
      </c>
      <c r="J65" s="3" t="s">
        <v>373</v>
      </c>
      <c r="K65" s="3" t="s">
        <v>378</v>
      </c>
      <c r="L65" s="3" t="s">
        <v>377</v>
      </c>
    </row>
    <row r="66" spans="1:12" ht="27">
      <c r="A66" s="3" t="s">
        <v>113</v>
      </c>
      <c r="B66" s="3" t="s">
        <v>371</v>
      </c>
      <c r="C66" s="3" t="s">
        <v>372</v>
      </c>
      <c r="D66" s="3" t="s">
        <v>114</v>
      </c>
      <c r="E66" s="3" t="s">
        <v>21</v>
      </c>
      <c r="F66" s="3" t="s">
        <v>18</v>
      </c>
      <c r="G66" s="9">
        <v>29500000</v>
      </c>
      <c r="H66" s="9">
        <v>0</v>
      </c>
      <c r="I66" s="10">
        <v>0</v>
      </c>
      <c r="J66" s="3" t="s">
        <v>373</v>
      </c>
      <c r="K66" s="3" t="s">
        <v>378</v>
      </c>
      <c r="L66" s="3" t="s">
        <v>377</v>
      </c>
    </row>
    <row r="67" spans="1:12" ht="27">
      <c r="A67" s="3" t="s">
        <v>115</v>
      </c>
      <c r="B67" s="3" t="s">
        <v>371</v>
      </c>
      <c r="C67" s="3" t="s">
        <v>372</v>
      </c>
      <c r="D67" s="3" t="s">
        <v>116</v>
      </c>
      <c r="E67" s="3" t="s">
        <v>21</v>
      </c>
      <c r="F67" s="3" t="s">
        <v>18</v>
      </c>
      <c r="G67" s="9">
        <v>4960000</v>
      </c>
      <c r="H67" s="9">
        <v>0</v>
      </c>
      <c r="I67" s="10">
        <v>0</v>
      </c>
      <c r="J67" s="3" t="s">
        <v>373</v>
      </c>
      <c r="K67" s="3" t="s">
        <v>378</v>
      </c>
      <c r="L67" s="3" t="s">
        <v>377</v>
      </c>
    </row>
    <row r="68" spans="1:12" ht="40.5">
      <c r="A68" s="3" t="s">
        <v>117</v>
      </c>
      <c r="B68" s="3" t="s">
        <v>371</v>
      </c>
      <c r="C68" s="3" t="s">
        <v>372</v>
      </c>
      <c r="D68" s="3" t="s">
        <v>118</v>
      </c>
      <c r="E68" s="3" t="s">
        <v>21</v>
      </c>
      <c r="F68" s="3" t="s">
        <v>18</v>
      </c>
      <c r="G68" s="9">
        <v>40000000</v>
      </c>
      <c r="H68" s="9">
        <v>0</v>
      </c>
      <c r="I68" s="10">
        <v>0</v>
      </c>
      <c r="J68" s="3" t="s">
        <v>373</v>
      </c>
      <c r="K68" s="3" t="s">
        <v>413</v>
      </c>
      <c r="L68" s="3" t="s">
        <v>404</v>
      </c>
    </row>
    <row r="69" spans="1:12" ht="27">
      <c r="A69" s="3" t="s">
        <v>119</v>
      </c>
      <c r="B69" s="3" t="s">
        <v>371</v>
      </c>
      <c r="C69" s="3" t="s">
        <v>372</v>
      </c>
      <c r="D69" s="3" t="s">
        <v>110</v>
      </c>
      <c r="E69" s="3" t="s">
        <v>21</v>
      </c>
      <c r="F69" s="3" t="s">
        <v>18</v>
      </c>
      <c r="G69" s="9">
        <v>1000000</v>
      </c>
      <c r="H69" s="9">
        <v>0</v>
      </c>
      <c r="I69" s="10">
        <v>0</v>
      </c>
      <c r="J69" s="3" t="s">
        <v>373</v>
      </c>
      <c r="K69" s="3" t="s">
        <v>378</v>
      </c>
      <c r="L69" s="3" t="s">
        <v>377</v>
      </c>
    </row>
    <row r="70" spans="1:12" ht="27">
      <c r="A70" s="3" t="s">
        <v>120</v>
      </c>
      <c r="B70" s="3" t="s">
        <v>371</v>
      </c>
      <c r="C70" s="3" t="s">
        <v>372</v>
      </c>
      <c r="D70" s="3" t="s">
        <v>121</v>
      </c>
      <c r="E70" s="3" t="s">
        <v>21</v>
      </c>
      <c r="F70" s="3" t="s">
        <v>18</v>
      </c>
      <c r="G70" s="9">
        <v>15796000</v>
      </c>
      <c r="H70" s="9">
        <v>0</v>
      </c>
      <c r="I70" s="10">
        <v>0</v>
      </c>
      <c r="J70" s="3" t="s">
        <v>373</v>
      </c>
      <c r="K70" s="3" t="s">
        <v>378</v>
      </c>
      <c r="L70" s="3" t="s">
        <v>377</v>
      </c>
    </row>
    <row r="71" spans="1:12" ht="27">
      <c r="A71" s="3" t="s">
        <v>122</v>
      </c>
      <c r="B71" s="3" t="s">
        <v>371</v>
      </c>
      <c r="C71" s="3" t="s">
        <v>372</v>
      </c>
      <c r="D71" s="3" t="s">
        <v>123</v>
      </c>
      <c r="E71" s="3" t="s">
        <v>21</v>
      </c>
      <c r="F71" s="3" t="s">
        <v>18</v>
      </c>
      <c r="G71" s="9">
        <v>32244000</v>
      </c>
      <c r="H71" s="9">
        <v>0</v>
      </c>
      <c r="I71" s="10">
        <v>0</v>
      </c>
      <c r="J71" s="3" t="s">
        <v>373</v>
      </c>
      <c r="K71" s="3" t="s">
        <v>378</v>
      </c>
      <c r="L71" s="3" t="s">
        <v>377</v>
      </c>
    </row>
    <row r="72" spans="1:12" ht="27">
      <c r="A72" s="3" t="s">
        <v>124</v>
      </c>
      <c r="B72" s="3" t="s">
        <v>371</v>
      </c>
      <c r="C72" s="3" t="s">
        <v>372</v>
      </c>
      <c r="D72" s="3" t="s">
        <v>125</v>
      </c>
      <c r="E72" s="3" t="s">
        <v>21</v>
      </c>
      <c r="F72" s="3" t="s">
        <v>18</v>
      </c>
      <c r="G72" s="9">
        <v>29500000</v>
      </c>
      <c r="H72" s="9">
        <v>0</v>
      </c>
      <c r="I72" s="10">
        <v>0</v>
      </c>
      <c r="J72" s="3" t="s">
        <v>373</v>
      </c>
      <c r="K72" s="3" t="s">
        <v>378</v>
      </c>
      <c r="L72" s="3" t="s">
        <v>377</v>
      </c>
    </row>
    <row r="73" spans="1:12" ht="27">
      <c r="A73" s="3" t="s">
        <v>126</v>
      </c>
      <c r="B73" s="3" t="s">
        <v>371</v>
      </c>
      <c r="C73" s="3" t="s">
        <v>372</v>
      </c>
      <c r="D73" s="3" t="s">
        <v>127</v>
      </c>
      <c r="E73" s="3" t="s">
        <v>21</v>
      </c>
      <c r="F73" s="3" t="s">
        <v>18</v>
      </c>
      <c r="G73" s="9">
        <v>70000000</v>
      </c>
      <c r="H73" s="9">
        <v>0</v>
      </c>
      <c r="I73" s="10">
        <v>0</v>
      </c>
      <c r="J73" s="3" t="s">
        <v>373</v>
      </c>
      <c r="K73" s="3" t="s">
        <v>378</v>
      </c>
      <c r="L73" s="3" t="s">
        <v>377</v>
      </c>
    </row>
    <row r="74" spans="1:12" ht="27">
      <c r="A74" s="3" t="s">
        <v>128</v>
      </c>
      <c r="B74" s="3" t="s">
        <v>371</v>
      </c>
      <c r="C74" s="3" t="s">
        <v>372</v>
      </c>
      <c r="D74" s="3" t="s">
        <v>106</v>
      </c>
      <c r="E74" s="3" t="s">
        <v>21</v>
      </c>
      <c r="F74" s="3" t="s">
        <v>18</v>
      </c>
      <c r="G74" s="9">
        <v>6400000</v>
      </c>
      <c r="H74" s="9">
        <v>0</v>
      </c>
      <c r="I74" s="10">
        <v>0</v>
      </c>
      <c r="J74" s="3" t="s">
        <v>373</v>
      </c>
      <c r="K74" s="3" t="s">
        <v>378</v>
      </c>
      <c r="L74" s="3" t="s">
        <v>377</v>
      </c>
    </row>
    <row r="75" spans="1:12" ht="27">
      <c r="A75" s="3" t="s">
        <v>129</v>
      </c>
      <c r="B75" s="3" t="s">
        <v>371</v>
      </c>
      <c r="C75" s="3" t="s">
        <v>372</v>
      </c>
      <c r="D75" s="3" t="s">
        <v>130</v>
      </c>
      <c r="E75" s="3" t="s">
        <v>21</v>
      </c>
      <c r="F75" s="3" t="s">
        <v>18</v>
      </c>
      <c r="G75" s="9">
        <v>80000000</v>
      </c>
      <c r="H75" s="9">
        <v>0</v>
      </c>
      <c r="I75" s="10">
        <v>0</v>
      </c>
      <c r="J75" s="3" t="s">
        <v>373</v>
      </c>
      <c r="K75" s="3" t="s">
        <v>376</v>
      </c>
      <c r="L75" s="3" t="s">
        <v>377</v>
      </c>
    </row>
    <row r="76" spans="1:12" ht="27">
      <c r="A76" s="3" t="s">
        <v>131</v>
      </c>
      <c r="B76" s="3" t="s">
        <v>371</v>
      </c>
      <c r="C76" s="3" t="s">
        <v>372</v>
      </c>
      <c r="D76" s="3" t="s">
        <v>110</v>
      </c>
      <c r="E76" s="3" t="s">
        <v>21</v>
      </c>
      <c r="F76" s="3" t="s">
        <v>18</v>
      </c>
      <c r="G76" s="9">
        <v>1500000</v>
      </c>
      <c r="H76" s="9">
        <v>0</v>
      </c>
      <c r="I76" s="10">
        <v>0</v>
      </c>
      <c r="J76" s="3" t="s">
        <v>373</v>
      </c>
      <c r="K76" s="3" t="s">
        <v>378</v>
      </c>
      <c r="L76" s="3" t="s">
        <v>377</v>
      </c>
    </row>
    <row r="77" spans="1:12" ht="27">
      <c r="A77" s="3" t="s">
        <v>134</v>
      </c>
      <c r="B77" s="3" t="s">
        <v>371</v>
      </c>
      <c r="C77" s="3" t="s">
        <v>372</v>
      </c>
      <c r="D77" s="3" t="s">
        <v>135</v>
      </c>
      <c r="E77" s="3" t="s">
        <v>21</v>
      </c>
      <c r="F77" s="3" t="s">
        <v>18</v>
      </c>
      <c r="G77" s="9">
        <v>52500000</v>
      </c>
      <c r="H77" s="9">
        <v>0</v>
      </c>
      <c r="I77" s="10">
        <v>0</v>
      </c>
      <c r="J77" s="3" t="s">
        <v>373</v>
      </c>
      <c r="K77" s="3" t="s">
        <v>378</v>
      </c>
      <c r="L77" s="3" t="s">
        <v>377</v>
      </c>
    </row>
    <row r="78" spans="1:12" ht="27">
      <c r="A78" s="3" t="s">
        <v>136</v>
      </c>
      <c r="B78" s="3" t="s">
        <v>371</v>
      </c>
      <c r="C78" s="3" t="s">
        <v>372</v>
      </c>
      <c r="D78" s="3" t="s">
        <v>106</v>
      </c>
      <c r="E78" s="3" t="s">
        <v>21</v>
      </c>
      <c r="F78" s="3" t="s">
        <v>18</v>
      </c>
      <c r="G78" s="9">
        <v>3200000</v>
      </c>
      <c r="H78" s="9">
        <v>0</v>
      </c>
      <c r="I78" s="10">
        <v>0</v>
      </c>
      <c r="J78" s="3" t="s">
        <v>373</v>
      </c>
      <c r="K78" s="3" t="s">
        <v>378</v>
      </c>
      <c r="L78" s="3" t="s">
        <v>377</v>
      </c>
    </row>
    <row r="79" spans="1:12" ht="27">
      <c r="A79" s="3" t="s">
        <v>139</v>
      </c>
      <c r="B79" s="3" t="s">
        <v>371</v>
      </c>
      <c r="C79" s="3" t="s">
        <v>372</v>
      </c>
      <c r="D79" s="3" t="s">
        <v>414</v>
      </c>
      <c r="E79" s="3" t="s">
        <v>21</v>
      </c>
      <c r="F79" s="3" t="s">
        <v>18</v>
      </c>
      <c r="G79" s="9">
        <v>7600000</v>
      </c>
      <c r="H79" s="9">
        <v>0</v>
      </c>
      <c r="I79" s="10">
        <v>0</v>
      </c>
      <c r="J79" s="3" t="s">
        <v>373</v>
      </c>
      <c r="K79" s="3" t="s">
        <v>378</v>
      </c>
      <c r="L79" s="3" t="s">
        <v>377</v>
      </c>
    </row>
    <row r="80" spans="1:12" ht="27">
      <c r="A80" s="3" t="s">
        <v>141</v>
      </c>
      <c r="B80" s="3" t="s">
        <v>371</v>
      </c>
      <c r="C80" s="3" t="s">
        <v>372</v>
      </c>
      <c r="D80" s="3" t="s">
        <v>100</v>
      </c>
      <c r="E80" s="3" t="s">
        <v>21</v>
      </c>
      <c r="F80" s="3" t="s">
        <v>18</v>
      </c>
      <c r="G80" s="9">
        <v>960000</v>
      </c>
      <c r="H80" s="9">
        <v>0</v>
      </c>
      <c r="I80" s="10">
        <v>0</v>
      </c>
      <c r="J80" s="3" t="s">
        <v>373</v>
      </c>
      <c r="K80" s="3" t="s">
        <v>378</v>
      </c>
      <c r="L80" s="3" t="s">
        <v>377</v>
      </c>
    </row>
    <row r="81" spans="1:12" ht="27">
      <c r="A81" s="3" t="s">
        <v>142</v>
      </c>
      <c r="B81" s="3" t="s">
        <v>371</v>
      </c>
      <c r="C81" s="3" t="s">
        <v>372</v>
      </c>
      <c r="D81" s="3" t="s">
        <v>106</v>
      </c>
      <c r="E81" s="3" t="s">
        <v>21</v>
      </c>
      <c r="F81" s="3" t="s">
        <v>18</v>
      </c>
      <c r="G81" s="9">
        <v>9600000</v>
      </c>
      <c r="H81" s="9">
        <v>0</v>
      </c>
      <c r="I81" s="10">
        <v>0</v>
      </c>
      <c r="J81" s="3" t="s">
        <v>373</v>
      </c>
      <c r="K81" s="3" t="s">
        <v>378</v>
      </c>
      <c r="L81" s="3" t="s">
        <v>377</v>
      </c>
    </row>
    <row r="82" spans="1:12" ht="27">
      <c r="A82" s="3" t="s">
        <v>143</v>
      </c>
      <c r="B82" s="3" t="s">
        <v>371</v>
      </c>
      <c r="C82" s="3" t="s">
        <v>372</v>
      </c>
      <c r="D82" s="3" t="s">
        <v>114</v>
      </c>
      <c r="E82" s="3" t="s">
        <v>21</v>
      </c>
      <c r="F82" s="3" t="s">
        <v>18</v>
      </c>
      <c r="G82" s="9">
        <v>26242000</v>
      </c>
      <c r="H82" s="9">
        <v>0</v>
      </c>
      <c r="I82" s="10">
        <v>0</v>
      </c>
      <c r="J82" s="3" t="s">
        <v>373</v>
      </c>
      <c r="K82" s="3" t="s">
        <v>378</v>
      </c>
      <c r="L82" s="3" t="s">
        <v>377</v>
      </c>
    </row>
    <row r="83" spans="1:12" ht="27">
      <c r="A83" s="3" t="s">
        <v>144</v>
      </c>
      <c r="B83" s="3" t="s">
        <v>371</v>
      </c>
      <c r="C83" s="3" t="s">
        <v>372</v>
      </c>
      <c r="D83" s="3" t="s">
        <v>106</v>
      </c>
      <c r="E83" s="3" t="s">
        <v>21</v>
      </c>
      <c r="F83" s="3" t="s">
        <v>18</v>
      </c>
      <c r="G83" s="9">
        <v>17600000</v>
      </c>
      <c r="H83" s="9">
        <v>0</v>
      </c>
      <c r="I83" s="10">
        <v>0</v>
      </c>
      <c r="J83" s="3" t="s">
        <v>373</v>
      </c>
      <c r="K83" s="3" t="s">
        <v>378</v>
      </c>
      <c r="L83" s="3" t="s">
        <v>377</v>
      </c>
    </row>
    <row r="84" spans="1:12" ht="27">
      <c r="A84" s="3" t="s">
        <v>145</v>
      </c>
      <c r="B84" s="3" t="s">
        <v>371</v>
      </c>
      <c r="C84" s="3" t="s">
        <v>372</v>
      </c>
      <c r="D84" s="3" t="s">
        <v>146</v>
      </c>
      <c r="E84" s="3" t="s">
        <v>21</v>
      </c>
      <c r="F84" s="3" t="s">
        <v>18</v>
      </c>
      <c r="G84" s="9">
        <v>33000000</v>
      </c>
      <c r="H84" s="9">
        <v>0</v>
      </c>
      <c r="I84" s="10">
        <v>0</v>
      </c>
      <c r="J84" s="3" t="s">
        <v>373</v>
      </c>
      <c r="K84" s="3" t="s">
        <v>378</v>
      </c>
      <c r="L84" s="3" t="s">
        <v>377</v>
      </c>
    </row>
    <row r="85" spans="1:12" ht="27">
      <c r="A85" s="3" t="s">
        <v>147</v>
      </c>
      <c r="B85" s="3" t="s">
        <v>371</v>
      </c>
      <c r="C85" s="3" t="s">
        <v>372</v>
      </c>
      <c r="D85" s="3" t="s">
        <v>148</v>
      </c>
      <c r="E85" s="3" t="s">
        <v>21</v>
      </c>
      <c r="F85" s="3" t="s">
        <v>18</v>
      </c>
      <c r="G85" s="9">
        <v>15500000</v>
      </c>
      <c r="H85" s="9">
        <v>0</v>
      </c>
      <c r="I85" s="10">
        <v>0</v>
      </c>
      <c r="J85" s="3" t="s">
        <v>373</v>
      </c>
      <c r="K85" s="3" t="s">
        <v>378</v>
      </c>
      <c r="L85" s="3" t="s">
        <v>377</v>
      </c>
    </row>
    <row r="86" spans="1:12" ht="27">
      <c r="A86" s="3" t="s">
        <v>149</v>
      </c>
      <c r="B86" s="3" t="s">
        <v>371</v>
      </c>
      <c r="C86" s="3" t="s">
        <v>372</v>
      </c>
      <c r="D86" s="3" t="s">
        <v>150</v>
      </c>
      <c r="E86" s="3" t="s">
        <v>21</v>
      </c>
      <c r="F86" s="3" t="s">
        <v>18</v>
      </c>
      <c r="G86" s="9">
        <v>27000000</v>
      </c>
      <c r="H86" s="9">
        <v>0</v>
      </c>
      <c r="I86" s="10">
        <v>0</v>
      </c>
      <c r="J86" s="3" t="s">
        <v>373</v>
      </c>
      <c r="K86" s="3" t="s">
        <v>378</v>
      </c>
      <c r="L86" s="3" t="s">
        <v>377</v>
      </c>
    </row>
    <row r="87" spans="1:12" ht="27">
      <c r="A87" s="3" t="s">
        <v>151</v>
      </c>
      <c r="B87" s="3" t="s">
        <v>371</v>
      </c>
      <c r="C87" s="3" t="s">
        <v>372</v>
      </c>
      <c r="D87" s="3" t="s">
        <v>152</v>
      </c>
      <c r="E87" s="3" t="s">
        <v>21</v>
      </c>
      <c r="F87" s="3" t="s">
        <v>18</v>
      </c>
      <c r="G87" s="9">
        <v>15500000</v>
      </c>
      <c r="H87" s="9">
        <v>0</v>
      </c>
      <c r="I87" s="10">
        <v>0</v>
      </c>
      <c r="J87" s="3" t="s">
        <v>373</v>
      </c>
      <c r="K87" s="3" t="s">
        <v>378</v>
      </c>
      <c r="L87" s="3" t="s">
        <v>377</v>
      </c>
    </row>
    <row r="88" spans="1:12" ht="27">
      <c r="A88" s="3" t="s">
        <v>153</v>
      </c>
      <c r="B88" s="3" t="s">
        <v>371</v>
      </c>
      <c r="C88" s="3" t="s">
        <v>372</v>
      </c>
      <c r="D88" s="3" t="s">
        <v>100</v>
      </c>
      <c r="E88" s="3" t="s">
        <v>21</v>
      </c>
      <c r="F88" s="3" t="s">
        <v>18</v>
      </c>
      <c r="G88" s="9">
        <v>1760000</v>
      </c>
      <c r="H88" s="9">
        <v>0</v>
      </c>
      <c r="I88" s="10">
        <v>0</v>
      </c>
      <c r="J88" s="3" t="s">
        <v>373</v>
      </c>
      <c r="K88" s="3" t="s">
        <v>378</v>
      </c>
      <c r="L88" s="3" t="s">
        <v>377</v>
      </c>
    </row>
    <row r="89" spans="1:12" ht="27">
      <c r="A89" s="3" t="s">
        <v>154</v>
      </c>
      <c r="B89" s="3" t="s">
        <v>371</v>
      </c>
      <c r="C89" s="3" t="s">
        <v>372</v>
      </c>
      <c r="D89" s="3" t="s">
        <v>155</v>
      </c>
      <c r="E89" s="3" t="s">
        <v>21</v>
      </c>
      <c r="F89" s="3" t="s">
        <v>18</v>
      </c>
      <c r="G89" s="9">
        <v>17500000</v>
      </c>
      <c r="H89" s="9">
        <v>0</v>
      </c>
      <c r="I89" s="10">
        <v>0</v>
      </c>
      <c r="J89" s="3" t="s">
        <v>373</v>
      </c>
      <c r="K89" s="3" t="s">
        <v>378</v>
      </c>
      <c r="L89" s="3" t="s">
        <v>377</v>
      </c>
    </row>
    <row r="90" spans="1:12" ht="27">
      <c r="A90" s="3" t="s">
        <v>156</v>
      </c>
      <c r="B90" s="3" t="s">
        <v>371</v>
      </c>
      <c r="C90" s="3" t="s">
        <v>372</v>
      </c>
      <c r="D90" s="3" t="s">
        <v>157</v>
      </c>
      <c r="E90" s="3" t="s">
        <v>21</v>
      </c>
      <c r="F90" s="3" t="s">
        <v>18</v>
      </c>
      <c r="G90" s="9">
        <v>17500000</v>
      </c>
      <c r="H90" s="9">
        <v>0</v>
      </c>
      <c r="I90" s="10">
        <v>0</v>
      </c>
      <c r="J90" s="3" t="s">
        <v>373</v>
      </c>
      <c r="K90" s="3" t="s">
        <v>378</v>
      </c>
      <c r="L90" s="3" t="s">
        <v>377</v>
      </c>
    </row>
    <row r="91" spans="1:12" ht="27">
      <c r="A91" s="3" t="s">
        <v>158</v>
      </c>
      <c r="B91" s="3" t="s">
        <v>371</v>
      </c>
      <c r="C91" s="3" t="s">
        <v>372</v>
      </c>
      <c r="D91" s="3" t="s">
        <v>159</v>
      </c>
      <c r="E91" s="3" t="s">
        <v>21</v>
      </c>
      <c r="F91" s="3" t="s">
        <v>18</v>
      </c>
      <c r="G91" s="9">
        <v>25000000</v>
      </c>
      <c r="H91" s="9">
        <v>0</v>
      </c>
      <c r="I91" s="10">
        <v>0</v>
      </c>
      <c r="J91" s="3" t="s">
        <v>373</v>
      </c>
      <c r="K91" s="3" t="s">
        <v>378</v>
      </c>
      <c r="L91" s="3" t="s">
        <v>377</v>
      </c>
    </row>
    <row r="92" spans="1:12" ht="27">
      <c r="A92" s="3" t="s">
        <v>160</v>
      </c>
      <c r="B92" s="3" t="s">
        <v>371</v>
      </c>
      <c r="C92" s="3" t="s">
        <v>372</v>
      </c>
      <c r="D92" s="3" t="s">
        <v>162</v>
      </c>
      <c r="E92" s="3" t="s">
        <v>21</v>
      </c>
      <c r="F92" s="3" t="s">
        <v>18</v>
      </c>
      <c r="G92" s="9">
        <v>50400000</v>
      </c>
      <c r="H92" s="9">
        <v>0</v>
      </c>
      <c r="I92" s="10">
        <v>0</v>
      </c>
      <c r="J92" s="3" t="s">
        <v>373</v>
      </c>
      <c r="K92" s="3" t="s">
        <v>378</v>
      </c>
      <c r="L92" s="3" t="s">
        <v>377</v>
      </c>
    </row>
    <row r="93" spans="1:12" ht="27">
      <c r="A93" s="3" t="s">
        <v>163</v>
      </c>
      <c r="B93" s="3" t="s">
        <v>371</v>
      </c>
      <c r="C93" s="3" t="s">
        <v>372</v>
      </c>
      <c r="D93" s="3" t="s">
        <v>164</v>
      </c>
      <c r="E93" s="3" t="s">
        <v>21</v>
      </c>
      <c r="F93" s="3" t="s">
        <v>18</v>
      </c>
      <c r="G93" s="9">
        <v>122010000</v>
      </c>
      <c r="H93" s="9">
        <v>0</v>
      </c>
      <c r="I93" s="10">
        <v>0</v>
      </c>
      <c r="J93" s="3" t="s">
        <v>373</v>
      </c>
      <c r="K93" s="3" t="s">
        <v>379</v>
      </c>
      <c r="L93" s="3" t="s">
        <v>380</v>
      </c>
    </row>
    <row r="94" spans="1:12" ht="27">
      <c r="A94" s="3" t="s">
        <v>167</v>
      </c>
      <c r="B94" s="3" t="s">
        <v>371</v>
      </c>
      <c r="C94" s="3" t="s">
        <v>372</v>
      </c>
      <c r="D94" s="3" t="s">
        <v>168</v>
      </c>
      <c r="E94" s="3" t="s">
        <v>21</v>
      </c>
      <c r="F94" s="3" t="s">
        <v>18</v>
      </c>
      <c r="G94" s="9">
        <v>117600000</v>
      </c>
      <c r="H94" s="9">
        <v>0</v>
      </c>
      <c r="I94" s="10">
        <v>0</v>
      </c>
      <c r="J94" s="3" t="s">
        <v>373</v>
      </c>
      <c r="K94" s="3" t="s">
        <v>379</v>
      </c>
      <c r="L94" s="3" t="s">
        <v>380</v>
      </c>
    </row>
    <row r="95" spans="1:12" ht="27">
      <c r="A95" s="3" t="s">
        <v>169</v>
      </c>
      <c r="B95" s="3" t="s">
        <v>371</v>
      </c>
      <c r="C95" s="3" t="s">
        <v>372</v>
      </c>
      <c r="D95" s="3" t="s">
        <v>170</v>
      </c>
      <c r="E95" s="3" t="s">
        <v>21</v>
      </c>
      <c r="F95" s="3" t="s">
        <v>18</v>
      </c>
      <c r="G95" s="9">
        <v>33600000</v>
      </c>
      <c r="H95" s="9">
        <v>0</v>
      </c>
      <c r="I95" s="10">
        <v>0</v>
      </c>
      <c r="J95" s="3" t="s">
        <v>373</v>
      </c>
      <c r="K95" s="3" t="s">
        <v>379</v>
      </c>
      <c r="L95" s="3" t="s">
        <v>380</v>
      </c>
    </row>
    <row r="96" spans="1:12" ht="27">
      <c r="A96" s="3" t="s">
        <v>171</v>
      </c>
      <c r="B96" s="3" t="s">
        <v>371</v>
      </c>
      <c r="C96" s="3" t="s">
        <v>372</v>
      </c>
      <c r="D96" s="3" t="s">
        <v>172</v>
      </c>
      <c r="E96" s="3" t="s">
        <v>21</v>
      </c>
      <c r="F96" s="3" t="s">
        <v>18</v>
      </c>
      <c r="G96" s="9">
        <v>3360000</v>
      </c>
      <c r="H96" s="9">
        <v>0</v>
      </c>
      <c r="I96" s="10">
        <v>0</v>
      </c>
      <c r="J96" s="3" t="s">
        <v>373</v>
      </c>
      <c r="K96" s="3" t="s">
        <v>379</v>
      </c>
      <c r="L96" s="3" t="s">
        <v>380</v>
      </c>
    </row>
    <row r="97" spans="1:12" ht="27">
      <c r="A97" s="3" t="s">
        <v>173</v>
      </c>
      <c r="B97" s="3" t="s">
        <v>371</v>
      </c>
      <c r="C97" s="3" t="s">
        <v>372</v>
      </c>
      <c r="D97" s="3" t="s">
        <v>174</v>
      </c>
      <c r="E97" s="3" t="s">
        <v>21</v>
      </c>
      <c r="F97" s="3" t="s">
        <v>18</v>
      </c>
      <c r="G97" s="9">
        <v>2625000</v>
      </c>
      <c r="H97" s="9">
        <v>0</v>
      </c>
      <c r="I97" s="10">
        <v>0</v>
      </c>
      <c r="J97" s="3" t="s">
        <v>373</v>
      </c>
      <c r="K97" s="3" t="s">
        <v>379</v>
      </c>
      <c r="L97" s="3" t="s">
        <v>380</v>
      </c>
    </row>
    <row r="98" spans="1:12" ht="27">
      <c r="A98" s="3" t="s">
        <v>175</v>
      </c>
      <c r="B98" s="3" t="s">
        <v>371</v>
      </c>
      <c r="C98" s="3" t="s">
        <v>372</v>
      </c>
      <c r="D98" s="3" t="s">
        <v>176</v>
      </c>
      <c r="E98" s="3" t="s">
        <v>21</v>
      </c>
      <c r="F98" s="3" t="s">
        <v>18</v>
      </c>
      <c r="G98" s="9">
        <v>33480000</v>
      </c>
      <c r="H98" s="9">
        <v>0</v>
      </c>
      <c r="I98" s="10">
        <v>0</v>
      </c>
      <c r="J98" s="3" t="s">
        <v>373</v>
      </c>
      <c r="K98" s="3" t="s">
        <v>379</v>
      </c>
      <c r="L98" s="3" t="s">
        <v>380</v>
      </c>
    </row>
    <row r="99" spans="1:12" ht="40.5">
      <c r="A99" s="3" t="s">
        <v>177</v>
      </c>
      <c r="B99" s="3" t="s">
        <v>371</v>
      </c>
      <c r="C99" s="3" t="s">
        <v>372</v>
      </c>
      <c r="D99" s="3" t="s">
        <v>178</v>
      </c>
      <c r="E99" s="3" t="s">
        <v>21</v>
      </c>
      <c r="F99" s="3" t="s">
        <v>18</v>
      </c>
      <c r="G99" s="9">
        <v>426870000</v>
      </c>
      <c r="H99" s="9">
        <v>0</v>
      </c>
      <c r="I99" s="10">
        <v>0</v>
      </c>
      <c r="J99" s="3" t="s">
        <v>405</v>
      </c>
      <c r="K99" s="3" t="s">
        <v>415</v>
      </c>
      <c r="L99" s="3" t="s">
        <v>416</v>
      </c>
    </row>
    <row r="100" spans="1:12" ht="27">
      <c r="A100" s="3" t="s">
        <v>179</v>
      </c>
      <c r="B100" s="3" t="s">
        <v>371</v>
      </c>
      <c r="C100" s="3" t="s">
        <v>372</v>
      </c>
      <c r="D100" s="3" t="s">
        <v>180</v>
      </c>
      <c r="E100" s="3" t="s">
        <v>21</v>
      </c>
      <c r="F100" s="3" t="s">
        <v>18</v>
      </c>
      <c r="G100" s="9">
        <v>58320000</v>
      </c>
      <c r="H100" s="9">
        <v>0</v>
      </c>
      <c r="I100" s="10">
        <v>0</v>
      </c>
      <c r="J100" s="3" t="s">
        <v>373</v>
      </c>
      <c r="K100" s="3" t="s">
        <v>379</v>
      </c>
      <c r="L100" s="3" t="s">
        <v>380</v>
      </c>
    </row>
    <row r="101" spans="1:12" ht="27">
      <c r="A101" s="3" t="s">
        <v>181</v>
      </c>
      <c r="B101" s="3" t="s">
        <v>371</v>
      </c>
      <c r="C101" s="3" t="s">
        <v>372</v>
      </c>
      <c r="D101" s="3" t="s">
        <v>182</v>
      </c>
      <c r="E101" s="3" t="s">
        <v>21</v>
      </c>
      <c r="F101" s="3" t="s">
        <v>18</v>
      </c>
      <c r="G101" s="9">
        <v>22960000</v>
      </c>
      <c r="H101" s="9">
        <v>0</v>
      </c>
      <c r="I101" s="10">
        <v>0</v>
      </c>
      <c r="J101" s="3" t="s">
        <v>373</v>
      </c>
      <c r="K101" s="3" t="s">
        <v>379</v>
      </c>
      <c r="L101" s="3" t="s">
        <v>380</v>
      </c>
    </row>
    <row r="102" spans="1:12" ht="40.5">
      <c r="A102" s="3" t="s">
        <v>183</v>
      </c>
      <c r="B102" s="3" t="s">
        <v>371</v>
      </c>
      <c r="C102" s="3" t="s">
        <v>372</v>
      </c>
      <c r="D102" s="3" t="s">
        <v>184</v>
      </c>
      <c r="E102" s="3" t="s">
        <v>21</v>
      </c>
      <c r="F102" s="3" t="s">
        <v>18</v>
      </c>
      <c r="G102" s="9">
        <v>1440000</v>
      </c>
      <c r="H102" s="9">
        <v>0</v>
      </c>
      <c r="I102" s="10">
        <v>0</v>
      </c>
      <c r="J102" s="3" t="s">
        <v>373</v>
      </c>
      <c r="K102" s="3" t="s">
        <v>379</v>
      </c>
      <c r="L102" s="3" t="s">
        <v>380</v>
      </c>
    </row>
    <row r="103" spans="1:12" ht="27">
      <c r="A103" s="3" t="s">
        <v>185</v>
      </c>
      <c r="B103" s="3" t="s">
        <v>371</v>
      </c>
      <c r="C103" s="3" t="s">
        <v>372</v>
      </c>
      <c r="D103" s="3" t="s">
        <v>186</v>
      </c>
      <c r="E103" s="3" t="s">
        <v>21</v>
      </c>
      <c r="F103" s="3" t="s">
        <v>18</v>
      </c>
      <c r="G103" s="9">
        <v>125000</v>
      </c>
      <c r="H103" s="9">
        <v>0</v>
      </c>
      <c r="I103" s="10">
        <v>0</v>
      </c>
      <c r="J103" s="3" t="s">
        <v>373</v>
      </c>
      <c r="K103" s="3" t="s">
        <v>379</v>
      </c>
      <c r="L103" s="3" t="s">
        <v>380</v>
      </c>
    </row>
    <row r="104" spans="1:12" ht="27">
      <c r="A104" s="3" t="s">
        <v>191</v>
      </c>
      <c r="B104" s="3" t="s">
        <v>371</v>
      </c>
      <c r="C104" s="3" t="s">
        <v>372</v>
      </c>
      <c r="D104" s="3" t="s">
        <v>193</v>
      </c>
      <c r="E104" s="3" t="s">
        <v>21</v>
      </c>
      <c r="F104" s="3" t="s">
        <v>18</v>
      </c>
      <c r="G104" s="9">
        <v>15990000</v>
      </c>
      <c r="H104" s="9">
        <v>0</v>
      </c>
      <c r="I104" s="10">
        <v>0</v>
      </c>
      <c r="J104" s="3" t="s">
        <v>373</v>
      </c>
      <c r="K104" s="3" t="s">
        <v>379</v>
      </c>
      <c r="L104" s="3" t="s">
        <v>380</v>
      </c>
    </row>
    <row r="105" spans="1:12" ht="27">
      <c r="A105" s="3" t="s">
        <v>194</v>
      </c>
      <c r="B105" s="3" t="s">
        <v>371</v>
      </c>
      <c r="C105" s="3" t="s">
        <v>372</v>
      </c>
      <c r="D105" s="3" t="s">
        <v>195</v>
      </c>
      <c r="E105" s="3" t="s">
        <v>21</v>
      </c>
      <c r="F105" s="3" t="s">
        <v>18</v>
      </c>
      <c r="G105" s="9">
        <v>760000</v>
      </c>
      <c r="H105" s="9">
        <v>0</v>
      </c>
      <c r="I105" s="10">
        <v>0</v>
      </c>
      <c r="J105" s="3" t="s">
        <v>373</v>
      </c>
      <c r="K105" s="3" t="s">
        <v>379</v>
      </c>
      <c r="L105" s="3" t="s">
        <v>380</v>
      </c>
    </row>
    <row r="106" spans="1:12" ht="27">
      <c r="A106" s="3" t="s">
        <v>196</v>
      </c>
      <c r="B106" s="3" t="s">
        <v>371</v>
      </c>
      <c r="C106" s="3" t="s">
        <v>372</v>
      </c>
      <c r="D106" s="3" t="s">
        <v>197</v>
      </c>
      <c r="E106" s="3" t="s">
        <v>21</v>
      </c>
      <c r="F106" s="3" t="s">
        <v>18</v>
      </c>
      <c r="G106" s="9">
        <v>125000</v>
      </c>
      <c r="H106" s="9">
        <v>0</v>
      </c>
      <c r="I106" s="10">
        <v>0</v>
      </c>
      <c r="J106" s="3" t="s">
        <v>373</v>
      </c>
      <c r="K106" s="3" t="s">
        <v>379</v>
      </c>
      <c r="L106" s="3" t="s">
        <v>380</v>
      </c>
    </row>
    <row r="107" spans="1:12" ht="27">
      <c r="A107" s="3" t="s">
        <v>209</v>
      </c>
      <c r="B107" s="3" t="s">
        <v>371</v>
      </c>
      <c r="C107" s="3" t="s">
        <v>372</v>
      </c>
      <c r="D107" s="3" t="s">
        <v>210</v>
      </c>
      <c r="E107" s="3" t="s">
        <v>21</v>
      </c>
      <c r="F107" s="3" t="s">
        <v>18</v>
      </c>
      <c r="G107" s="9">
        <v>44010000</v>
      </c>
      <c r="H107" s="9">
        <v>0</v>
      </c>
      <c r="I107" s="10">
        <v>0</v>
      </c>
      <c r="J107" s="3" t="s">
        <v>373</v>
      </c>
      <c r="K107" s="3" t="s">
        <v>417</v>
      </c>
      <c r="L107" s="3" t="s">
        <v>45</v>
      </c>
    </row>
    <row r="108" spans="1:12" ht="54">
      <c r="A108" s="3" t="s">
        <v>211</v>
      </c>
      <c r="B108" s="3" t="s">
        <v>371</v>
      </c>
      <c r="C108" s="3" t="s">
        <v>372</v>
      </c>
      <c r="D108" s="3" t="s">
        <v>213</v>
      </c>
      <c r="E108" s="3" t="s">
        <v>21</v>
      </c>
      <c r="F108" s="3" t="s">
        <v>22</v>
      </c>
      <c r="G108" s="9">
        <v>80055000</v>
      </c>
      <c r="H108" s="9">
        <v>79646692.040000007</v>
      </c>
      <c r="I108" s="10">
        <v>99</v>
      </c>
      <c r="J108" s="3" t="s">
        <v>373</v>
      </c>
      <c r="K108" s="3" t="s">
        <v>418</v>
      </c>
      <c r="L108" s="3" t="s">
        <v>45</v>
      </c>
    </row>
    <row r="109" spans="1:12" ht="40.5">
      <c r="A109" s="3" t="s">
        <v>214</v>
      </c>
      <c r="B109" s="3" t="s">
        <v>371</v>
      </c>
      <c r="C109" s="3" t="s">
        <v>372</v>
      </c>
      <c r="D109" s="3" t="s">
        <v>215</v>
      </c>
      <c r="E109" s="3" t="s">
        <v>21</v>
      </c>
      <c r="F109" s="3" t="s">
        <v>18</v>
      </c>
      <c r="G109" s="9">
        <v>105000000</v>
      </c>
      <c r="H109" s="9">
        <v>0</v>
      </c>
      <c r="I109" s="10">
        <v>0</v>
      </c>
      <c r="J109" s="3" t="s">
        <v>373</v>
      </c>
      <c r="K109" s="3" t="s">
        <v>419</v>
      </c>
      <c r="L109" s="3" t="s">
        <v>45</v>
      </c>
    </row>
    <row r="110" spans="1:12" ht="27">
      <c r="A110" s="3" t="s">
        <v>218</v>
      </c>
      <c r="B110" s="3" t="s">
        <v>371</v>
      </c>
      <c r="C110" s="3" t="s">
        <v>372</v>
      </c>
      <c r="D110" s="3" t="s">
        <v>219</v>
      </c>
      <c r="E110" s="3" t="s">
        <v>21</v>
      </c>
      <c r="F110" s="3" t="s">
        <v>18</v>
      </c>
      <c r="G110" s="9">
        <v>70000000</v>
      </c>
      <c r="H110" s="9">
        <v>0</v>
      </c>
      <c r="I110" s="10">
        <v>0</v>
      </c>
      <c r="J110" s="3" t="s">
        <v>373</v>
      </c>
      <c r="K110" s="3" t="s">
        <v>420</v>
      </c>
      <c r="L110" s="3" t="s">
        <v>45</v>
      </c>
    </row>
    <row r="111" spans="1:12" ht="27">
      <c r="A111" s="3" t="s">
        <v>220</v>
      </c>
      <c r="B111" s="3" t="s">
        <v>371</v>
      </c>
      <c r="C111" s="3" t="s">
        <v>372</v>
      </c>
      <c r="D111" s="3" t="s">
        <v>221</v>
      </c>
      <c r="E111" s="3" t="s">
        <v>21</v>
      </c>
      <c r="F111" s="3" t="s">
        <v>18</v>
      </c>
      <c r="G111" s="9">
        <v>35000000</v>
      </c>
      <c r="H111" s="9">
        <v>0</v>
      </c>
      <c r="I111" s="10">
        <v>0</v>
      </c>
      <c r="J111" s="3" t="s">
        <v>373</v>
      </c>
      <c r="K111" s="3" t="s">
        <v>421</v>
      </c>
      <c r="L111" s="3" t="s">
        <v>45</v>
      </c>
    </row>
    <row r="112" spans="1:12" ht="27">
      <c r="A112" s="3" t="s">
        <v>222</v>
      </c>
      <c r="B112" s="3" t="s">
        <v>371</v>
      </c>
      <c r="C112" s="3" t="s">
        <v>372</v>
      </c>
      <c r="D112" s="3" t="s">
        <v>223</v>
      </c>
      <c r="E112" s="3" t="s">
        <v>21</v>
      </c>
      <c r="F112" s="3" t="s">
        <v>18</v>
      </c>
      <c r="G112" s="9">
        <v>35000000</v>
      </c>
      <c r="H112" s="9">
        <v>0</v>
      </c>
      <c r="I112" s="10">
        <v>0</v>
      </c>
      <c r="J112" s="3" t="s">
        <v>373</v>
      </c>
      <c r="K112" s="3" t="s">
        <v>421</v>
      </c>
      <c r="L112" s="3" t="s">
        <v>45</v>
      </c>
    </row>
    <row r="113" spans="1:12" ht="27">
      <c r="A113" s="3" t="s">
        <v>226</v>
      </c>
      <c r="B113" s="3" t="s">
        <v>371</v>
      </c>
      <c r="C113" s="3" t="s">
        <v>372</v>
      </c>
      <c r="D113" s="3" t="s">
        <v>227</v>
      </c>
      <c r="E113" s="3" t="s">
        <v>21</v>
      </c>
      <c r="F113" s="3" t="s">
        <v>18</v>
      </c>
      <c r="G113" s="9">
        <v>750000</v>
      </c>
      <c r="H113" s="9">
        <v>0</v>
      </c>
      <c r="I113" s="10">
        <v>0</v>
      </c>
      <c r="J113" s="3" t="s">
        <v>373</v>
      </c>
      <c r="K113" s="3" t="s">
        <v>422</v>
      </c>
      <c r="L113" s="3" t="s">
        <v>45</v>
      </c>
    </row>
    <row r="114" spans="1:12" ht="40.5">
      <c r="A114" s="3" t="s">
        <v>232</v>
      </c>
      <c r="B114" s="3" t="s">
        <v>371</v>
      </c>
      <c r="C114" s="3" t="s">
        <v>372</v>
      </c>
      <c r="D114" s="3" t="s">
        <v>233</v>
      </c>
      <c r="E114" s="3" t="s">
        <v>21</v>
      </c>
      <c r="F114" s="3" t="s">
        <v>18</v>
      </c>
      <c r="G114" s="9">
        <v>135040000</v>
      </c>
      <c r="H114" s="9">
        <v>0</v>
      </c>
      <c r="I114" s="10">
        <v>0</v>
      </c>
      <c r="J114" s="3" t="s">
        <v>373</v>
      </c>
      <c r="K114" s="3" t="s">
        <v>423</v>
      </c>
      <c r="L114" s="3" t="s">
        <v>424</v>
      </c>
    </row>
    <row r="115" spans="1:12" ht="67.5">
      <c r="A115" s="3" t="s">
        <v>236</v>
      </c>
      <c r="B115" s="3" t="s">
        <v>371</v>
      </c>
      <c r="C115" s="3" t="s">
        <v>372</v>
      </c>
      <c r="D115" s="3" t="s">
        <v>237</v>
      </c>
      <c r="E115" s="3" t="s">
        <v>21</v>
      </c>
      <c r="F115" s="3" t="s">
        <v>18</v>
      </c>
      <c r="G115" s="9">
        <v>244538000</v>
      </c>
      <c r="H115" s="9">
        <v>0</v>
      </c>
      <c r="I115" s="10">
        <v>0</v>
      </c>
      <c r="J115" s="3" t="s">
        <v>373</v>
      </c>
      <c r="K115" s="3" t="s">
        <v>425</v>
      </c>
      <c r="L115" s="3" t="s">
        <v>426</v>
      </c>
    </row>
    <row r="116" spans="1:12" ht="40.5">
      <c r="A116" s="3" t="s">
        <v>243</v>
      </c>
      <c r="B116" s="3" t="s">
        <v>371</v>
      </c>
      <c r="C116" s="3" t="s">
        <v>372</v>
      </c>
      <c r="D116" s="3" t="s">
        <v>244</v>
      </c>
      <c r="E116" s="3" t="s">
        <v>21</v>
      </c>
      <c r="F116" s="3" t="s">
        <v>18</v>
      </c>
      <c r="G116" s="9">
        <v>6720000</v>
      </c>
      <c r="H116" s="9">
        <v>0</v>
      </c>
      <c r="I116" s="10">
        <v>0</v>
      </c>
      <c r="J116" s="3" t="s">
        <v>373</v>
      </c>
      <c r="K116" s="3" t="s">
        <v>427</v>
      </c>
      <c r="L116" s="3" t="s">
        <v>424</v>
      </c>
    </row>
    <row r="117" spans="1:12" ht="40.5">
      <c r="A117" s="3" t="s">
        <v>245</v>
      </c>
      <c r="B117" s="3" t="s">
        <v>371</v>
      </c>
      <c r="C117" s="3" t="s">
        <v>372</v>
      </c>
      <c r="D117" s="3" t="s">
        <v>246</v>
      </c>
      <c r="E117" s="3" t="s">
        <v>21</v>
      </c>
      <c r="F117" s="3" t="s">
        <v>18</v>
      </c>
      <c r="G117" s="9">
        <v>1050000</v>
      </c>
      <c r="H117" s="9">
        <v>0</v>
      </c>
      <c r="I117" s="10">
        <v>0</v>
      </c>
      <c r="J117" s="3" t="s">
        <v>373</v>
      </c>
      <c r="K117" s="3" t="s">
        <v>428</v>
      </c>
      <c r="L117" s="3" t="s">
        <v>45</v>
      </c>
    </row>
    <row r="118" spans="1:12" ht="40.5">
      <c r="A118" s="3" t="s">
        <v>250</v>
      </c>
      <c r="B118" s="3" t="s">
        <v>371</v>
      </c>
      <c r="C118" s="3" t="s">
        <v>372</v>
      </c>
      <c r="D118" s="3" t="s">
        <v>251</v>
      </c>
      <c r="E118" s="3" t="s">
        <v>21</v>
      </c>
      <c r="F118" s="3" t="s">
        <v>18</v>
      </c>
      <c r="G118" s="9">
        <v>6720000</v>
      </c>
      <c r="H118" s="9">
        <v>0</v>
      </c>
      <c r="I118" s="10">
        <v>0</v>
      </c>
      <c r="J118" s="3" t="s">
        <v>373</v>
      </c>
      <c r="K118" s="3" t="s">
        <v>429</v>
      </c>
      <c r="L118" s="3" t="s">
        <v>45</v>
      </c>
    </row>
    <row r="119" spans="1:12" ht="40.5">
      <c r="A119" s="3" t="s">
        <v>252</v>
      </c>
      <c r="B119" s="3" t="s">
        <v>371</v>
      </c>
      <c r="C119" s="3" t="s">
        <v>372</v>
      </c>
      <c r="D119" s="3" t="s">
        <v>430</v>
      </c>
      <c r="E119" s="3" t="s">
        <v>21</v>
      </c>
      <c r="F119" s="3" t="s">
        <v>18</v>
      </c>
      <c r="G119" s="9">
        <v>14320004</v>
      </c>
      <c r="H119" s="9">
        <v>0</v>
      </c>
      <c r="I119" s="10">
        <v>0</v>
      </c>
      <c r="J119" s="3" t="s">
        <v>373</v>
      </c>
      <c r="K119" s="3" t="s">
        <v>431</v>
      </c>
      <c r="L119" s="3" t="s">
        <v>432</v>
      </c>
    </row>
    <row r="120" spans="1:12" ht="40.5">
      <c r="A120" s="3" t="s">
        <v>254</v>
      </c>
      <c r="B120" s="3" t="s">
        <v>371</v>
      </c>
      <c r="C120" s="3" t="s">
        <v>372</v>
      </c>
      <c r="D120" s="3" t="s">
        <v>255</v>
      </c>
      <c r="E120" s="3" t="s">
        <v>21</v>
      </c>
      <c r="F120" s="3" t="s">
        <v>22</v>
      </c>
      <c r="G120" s="9">
        <v>183632004</v>
      </c>
      <c r="H120" s="9">
        <v>149564286</v>
      </c>
      <c r="I120" s="10">
        <v>81</v>
      </c>
      <c r="J120" s="3" t="s">
        <v>373</v>
      </c>
      <c r="K120" s="3" t="s">
        <v>433</v>
      </c>
      <c r="L120" s="3" t="s">
        <v>424</v>
      </c>
    </row>
    <row r="121" spans="1:12" ht="40.5">
      <c r="A121" s="3" t="s">
        <v>256</v>
      </c>
      <c r="B121" s="3" t="s">
        <v>371</v>
      </c>
      <c r="C121" s="3" t="s">
        <v>372</v>
      </c>
      <c r="D121" s="3" t="s">
        <v>257</v>
      </c>
      <c r="E121" s="3" t="s">
        <v>21</v>
      </c>
      <c r="F121" s="3" t="s">
        <v>18</v>
      </c>
      <c r="G121" s="9">
        <v>458332020</v>
      </c>
      <c r="H121" s="9">
        <v>0</v>
      </c>
      <c r="I121" s="10">
        <v>0</v>
      </c>
      <c r="J121" s="3" t="s">
        <v>405</v>
      </c>
      <c r="K121" s="3" t="s">
        <v>434</v>
      </c>
      <c r="L121" s="3" t="s">
        <v>426</v>
      </c>
    </row>
    <row r="122" spans="1:12" ht="40.5">
      <c r="A122" s="3" t="s">
        <v>258</v>
      </c>
      <c r="B122" s="3" t="s">
        <v>371</v>
      </c>
      <c r="C122" s="3" t="s">
        <v>372</v>
      </c>
      <c r="D122" s="3" t="s">
        <v>110</v>
      </c>
      <c r="E122" s="3" t="s">
        <v>21</v>
      </c>
      <c r="F122" s="3" t="s">
        <v>18</v>
      </c>
      <c r="G122" s="9">
        <v>2750000</v>
      </c>
      <c r="H122" s="9">
        <v>0</v>
      </c>
      <c r="I122" s="10">
        <v>0</v>
      </c>
      <c r="J122" s="3" t="s">
        <v>373</v>
      </c>
      <c r="K122" s="3" t="s">
        <v>435</v>
      </c>
      <c r="L122" s="3" t="s">
        <v>432</v>
      </c>
    </row>
    <row r="123" spans="1:12" ht="40.5">
      <c r="A123" s="3" t="s">
        <v>259</v>
      </c>
      <c r="B123" s="3" t="s">
        <v>371</v>
      </c>
      <c r="C123" s="3" t="s">
        <v>372</v>
      </c>
      <c r="D123" s="3" t="s">
        <v>110</v>
      </c>
      <c r="E123" s="3" t="s">
        <v>21</v>
      </c>
      <c r="F123" s="3" t="s">
        <v>18</v>
      </c>
      <c r="G123" s="9">
        <v>1500000</v>
      </c>
      <c r="H123" s="9">
        <v>0</v>
      </c>
      <c r="I123" s="10">
        <v>0</v>
      </c>
      <c r="J123" s="3" t="s">
        <v>373</v>
      </c>
      <c r="K123" s="3" t="s">
        <v>436</v>
      </c>
      <c r="L123" s="3" t="s">
        <v>432</v>
      </c>
    </row>
    <row r="124" spans="1:12" ht="40.5">
      <c r="A124" s="3" t="s">
        <v>264</v>
      </c>
      <c r="B124" s="3" t="s">
        <v>371</v>
      </c>
      <c r="C124" s="3" t="s">
        <v>372</v>
      </c>
      <c r="D124" s="3" t="s">
        <v>265</v>
      </c>
      <c r="E124" s="3" t="s">
        <v>21</v>
      </c>
      <c r="F124" s="3" t="s">
        <v>18</v>
      </c>
      <c r="G124" s="9">
        <v>78560000</v>
      </c>
      <c r="H124" s="9">
        <v>0</v>
      </c>
      <c r="I124" s="10">
        <v>0</v>
      </c>
      <c r="J124" s="3" t="s">
        <v>373</v>
      </c>
      <c r="K124" s="3" t="s">
        <v>437</v>
      </c>
      <c r="L124" s="3" t="s">
        <v>424</v>
      </c>
    </row>
    <row r="125" spans="1:12" ht="40.5">
      <c r="A125" s="3" t="s">
        <v>266</v>
      </c>
      <c r="B125" s="3" t="s">
        <v>371</v>
      </c>
      <c r="C125" s="3" t="s">
        <v>372</v>
      </c>
      <c r="D125" s="3" t="s">
        <v>267</v>
      </c>
      <c r="E125" s="3" t="s">
        <v>21</v>
      </c>
      <c r="F125" s="3" t="s">
        <v>18</v>
      </c>
      <c r="G125" s="9">
        <v>160236000</v>
      </c>
      <c r="H125" s="9">
        <v>0</v>
      </c>
      <c r="I125" s="10">
        <v>0</v>
      </c>
      <c r="J125" s="3" t="s">
        <v>373</v>
      </c>
      <c r="K125" s="3" t="s">
        <v>438</v>
      </c>
      <c r="L125" s="3" t="s">
        <v>424</v>
      </c>
    </row>
    <row r="126" spans="1:12" ht="40.5">
      <c r="A126" s="3" t="s">
        <v>270</v>
      </c>
      <c r="B126" s="3" t="s">
        <v>371</v>
      </c>
      <c r="C126" s="3" t="s">
        <v>372</v>
      </c>
      <c r="D126" s="3" t="s">
        <v>271</v>
      </c>
      <c r="E126" s="3" t="s">
        <v>21</v>
      </c>
      <c r="F126" s="3" t="s">
        <v>18</v>
      </c>
      <c r="G126" s="9">
        <v>157270000</v>
      </c>
      <c r="H126" s="9">
        <v>0</v>
      </c>
      <c r="I126" s="10">
        <v>0</v>
      </c>
      <c r="J126" s="3" t="s">
        <v>373</v>
      </c>
      <c r="K126" s="3" t="s">
        <v>439</v>
      </c>
      <c r="L126" s="3" t="s">
        <v>424</v>
      </c>
    </row>
    <row r="127" spans="1:12" ht="40.5">
      <c r="A127" s="3" t="s">
        <v>272</v>
      </c>
      <c r="B127" s="3" t="s">
        <v>371</v>
      </c>
      <c r="C127" s="3" t="s">
        <v>372</v>
      </c>
      <c r="D127" s="3" t="s">
        <v>273</v>
      </c>
      <c r="E127" s="3" t="s">
        <v>21</v>
      </c>
      <c r="F127" s="3" t="s">
        <v>22</v>
      </c>
      <c r="G127" s="9">
        <v>111000000</v>
      </c>
      <c r="H127" s="9">
        <v>110335511.59999999</v>
      </c>
      <c r="I127" s="10">
        <v>99</v>
      </c>
      <c r="J127" s="3" t="s">
        <v>373</v>
      </c>
      <c r="K127" s="3" t="s">
        <v>440</v>
      </c>
      <c r="L127" s="3" t="s">
        <v>424</v>
      </c>
    </row>
    <row r="128" spans="1:12" ht="40.5">
      <c r="A128" s="3" t="s">
        <v>274</v>
      </c>
      <c r="B128" s="3" t="s">
        <v>371</v>
      </c>
      <c r="C128" s="3" t="s">
        <v>372</v>
      </c>
      <c r="D128" s="3" t="s">
        <v>275</v>
      </c>
      <c r="E128" s="3" t="s">
        <v>21</v>
      </c>
      <c r="F128" s="3" t="s">
        <v>18</v>
      </c>
      <c r="G128" s="9">
        <v>49995600</v>
      </c>
      <c r="H128" s="9">
        <v>0</v>
      </c>
      <c r="I128" s="10">
        <v>0</v>
      </c>
      <c r="J128" s="3" t="s">
        <v>373</v>
      </c>
      <c r="K128" s="3" t="s">
        <v>441</v>
      </c>
      <c r="L128" s="3" t="s">
        <v>404</v>
      </c>
    </row>
    <row r="129" spans="1:12" ht="54">
      <c r="A129" s="3" t="s">
        <v>276</v>
      </c>
      <c r="B129" s="3" t="s">
        <v>371</v>
      </c>
      <c r="C129" s="3" t="s">
        <v>372</v>
      </c>
      <c r="D129" s="3" t="s">
        <v>277</v>
      </c>
      <c r="E129" s="3" t="s">
        <v>21</v>
      </c>
      <c r="F129" s="3" t="s">
        <v>18</v>
      </c>
      <c r="G129" s="9">
        <v>17250000</v>
      </c>
      <c r="H129" s="9">
        <v>0</v>
      </c>
      <c r="I129" s="10">
        <v>0</v>
      </c>
      <c r="J129" s="3" t="s">
        <v>373</v>
      </c>
      <c r="K129" s="3" t="s">
        <v>442</v>
      </c>
      <c r="L129" s="3" t="s">
        <v>404</v>
      </c>
    </row>
    <row r="130" spans="1:12" ht="40.5">
      <c r="A130" s="3" t="s">
        <v>278</v>
      </c>
      <c r="B130" s="3" t="s">
        <v>371</v>
      </c>
      <c r="C130" s="3" t="s">
        <v>372</v>
      </c>
      <c r="D130" s="3" t="s">
        <v>279</v>
      </c>
      <c r="E130" s="3" t="s">
        <v>21</v>
      </c>
      <c r="F130" s="3" t="s">
        <v>22</v>
      </c>
      <c r="G130" s="9">
        <v>129844400</v>
      </c>
      <c r="H130" s="9">
        <v>11406300</v>
      </c>
      <c r="I130" s="10">
        <v>9</v>
      </c>
      <c r="J130" s="3" t="s">
        <v>373</v>
      </c>
      <c r="K130" s="3" t="s">
        <v>443</v>
      </c>
      <c r="L130" s="3" t="s">
        <v>424</v>
      </c>
    </row>
    <row r="131" spans="1:12" ht="40.5">
      <c r="A131" s="3" t="s">
        <v>280</v>
      </c>
      <c r="B131" s="3" t="s">
        <v>371</v>
      </c>
      <c r="C131" s="3" t="s">
        <v>372</v>
      </c>
      <c r="D131" s="3" t="s">
        <v>281</v>
      </c>
      <c r="E131" s="3" t="s">
        <v>21</v>
      </c>
      <c r="F131" s="3" t="s">
        <v>18</v>
      </c>
      <c r="G131" s="9">
        <v>43200000</v>
      </c>
      <c r="H131" s="9">
        <v>0</v>
      </c>
      <c r="I131" s="10">
        <v>0</v>
      </c>
      <c r="J131" s="3" t="s">
        <v>373</v>
      </c>
      <c r="K131" s="3" t="s">
        <v>444</v>
      </c>
      <c r="L131" s="3" t="s">
        <v>45</v>
      </c>
    </row>
    <row r="132" spans="1:12" ht="40.5">
      <c r="A132" s="3" t="s">
        <v>282</v>
      </c>
      <c r="B132" s="3" t="s">
        <v>371</v>
      </c>
      <c r="C132" s="3" t="s">
        <v>372</v>
      </c>
      <c r="D132" s="3" t="s">
        <v>283</v>
      </c>
      <c r="E132" s="3" t="s">
        <v>21</v>
      </c>
      <c r="F132" s="3" t="s">
        <v>18</v>
      </c>
      <c r="G132" s="9">
        <v>8990000</v>
      </c>
      <c r="H132" s="9">
        <v>0</v>
      </c>
      <c r="I132" s="10">
        <v>0</v>
      </c>
      <c r="J132" s="3" t="s">
        <v>373</v>
      </c>
      <c r="K132" s="3" t="s">
        <v>445</v>
      </c>
      <c r="L132" s="3" t="s">
        <v>45</v>
      </c>
    </row>
    <row r="133" spans="1:12" ht="40.5">
      <c r="A133" s="3" t="s">
        <v>284</v>
      </c>
      <c r="B133" s="3" t="s">
        <v>371</v>
      </c>
      <c r="C133" s="3" t="s">
        <v>372</v>
      </c>
      <c r="D133" s="3" t="s">
        <v>285</v>
      </c>
      <c r="E133" s="3" t="s">
        <v>21</v>
      </c>
      <c r="F133" s="3" t="s">
        <v>18</v>
      </c>
      <c r="G133" s="9">
        <v>21615000</v>
      </c>
      <c r="H133" s="9">
        <v>0</v>
      </c>
      <c r="I133" s="10">
        <v>0</v>
      </c>
      <c r="J133" s="3" t="s">
        <v>373</v>
      </c>
      <c r="K133" s="3" t="s">
        <v>446</v>
      </c>
      <c r="L133" s="3" t="s">
        <v>45</v>
      </c>
    </row>
    <row r="134" spans="1:12" ht="40.5">
      <c r="A134" s="3" t="s">
        <v>286</v>
      </c>
      <c r="B134" s="3" t="s">
        <v>371</v>
      </c>
      <c r="C134" s="3" t="s">
        <v>372</v>
      </c>
      <c r="D134" s="3" t="s">
        <v>287</v>
      </c>
      <c r="E134" s="3" t="s">
        <v>21</v>
      </c>
      <c r="F134" s="3" t="s">
        <v>22</v>
      </c>
      <c r="G134" s="9">
        <v>76726000</v>
      </c>
      <c r="H134" s="9">
        <v>66151374.390000001</v>
      </c>
      <c r="I134" s="10">
        <v>86</v>
      </c>
      <c r="J134" s="3" t="s">
        <v>373</v>
      </c>
      <c r="K134" s="3" t="s">
        <v>447</v>
      </c>
      <c r="L134" s="3" t="s">
        <v>424</v>
      </c>
    </row>
    <row r="135" spans="1:12" ht="40.5">
      <c r="A135" s="3" t="s">
        <v>288</v>
      </c>
      <c r="B135" s="3" t="s">
        <v>371</v>
      </c>
      <c r="C135" s="3" t="s">
        <v>372</v>
      </c>
      <c r="D135" s="3" t="s">
        <v>125</v>
      </c>
      <c r="E135" s="3" t="s">
        <v>21</v>
      </c>
      <c r="F135" s="3" t="s">
        <v>18</v>
      </c>
      <c r="G135" s="9">
        <v>48484000</v>
      </c>
      <c r="H135" s="9">
        <v>0</v>
      </c>
      <c r="I135" s="10">
        <v>0</v>
      </c>
      <c r="J135" s="3" t="s">
        <v>373</v>
      </c>
      <c r="K135" s="3" t="s">
        <v>448</v>
      </c>
      <c r="L135" s="3" t="s">
        <v>45</v>
      </c>
    </row>
    <row r="136" spans="1:12" ht="40.5">
      <c r="A136" s="3" t="s">
        <v>289</v>
      </c>
      <c r="B136" s="3" t="s">
        <v>371</v>
      </c>
      <c r="C136" s="3" t="s">
        <v>372</v>
      </c>
      <c r="D136" s="3" t="s">
        <v>290</v>
      </c>
      <c r="E136" s="3" t="s">
        <v>21</v>
      </c>
      <c r="F136" s="3" t="s">
        <v>18</v>
      </c>
      <c r="G136" s="9">
        <v>14500000</v>
      </c>
      <c r="H136" s="9">
        <v>0</v>
      </c>
      <c r="I136" s="10">
        <v>0</v>
      </c>
      <c r="J136" s="3" t="s">
        <v>373</v>
      </c>
      <c r="K136" s="3" t="s">
        <v>449</v>
      </c>
      <c r="L136" s="3" t="s">
        <v>45</v>
      </c>
    </row>
    <row r="137" spans="1:12" ht="54">
      <c r="A137" s="3" t="s">
        <v>291</v>
      </c>
      <c r="B137" s="3" t="s">
        <v>371</v>
      </c>
      <c r="C137" s="3" t="s">
        <v>372</v>
      </c>
      <c r="D137" s="3" t="s">
        <v>292</v>
      </c>
      <c r="E137" s="3" t="s">
        <v>21</v>
      </c>
      <c r="F137" s="3" t="s">
        <v>22</v>
      </c>
      <c r="G137" s="9">
        <v>140500000</v>
      </c>
      <c r="H137" s="9">
        <v>108610218.84</v>
      </c>
      <c r="I137" s="10">
        <v>77</v>
      </c>
      <c r="J137" s="3" t="s">
        <v>373</v>
      </c>
      <c r="K137" s="3" t="s">
        <v>450</v>
      </c>
      <c r="L137" s="3" t="s">
        <v>424</v>
      </c>
    </row>
    <row r="138" spans="1:12" ht="40.5">
      <c r="A138" s="3" t="s">
        <v>293</v>
      </c>
      <c r="B138" s="3" t="s">
        <v>371</v>
      </c>
      <c r="C138" s="3" t="s">
        <v>372</v>
      </c>
      <c r="D138" s="3" t="s">
        <v>294</v>
      </c>
      <c r="E138" s="3" t="s">
        <v>21</v>
      </c>
      <c r="F138" s="3" t="s">
        <v>18</v>
      </c>
      <c r="G138" s="9">
        <v>37500000</v>
      </c>
      <c r="H138" s="9">
        <v>0</v>
      </c>
      <c r="I138" s="10">
        <v>0</v>
      </c>
      <c r="J138" s="3" t="s">
        <v>373</v>
      </c>
      <c r="K138" s="3" t="s">
        <v>451</v>
      </c>
      <c r="L138" s="3" t="s">
        <v>404</v>
      </c>
    </row>
    <row r="139" spans="1:12" ht="67.5">
      <c r="A139" s="3" t="s">
        <v>295</v>
      </c>
      <c r="B139" s="3" t="s">
        <v>371</v>
      </c>
      <c r="C139" s="3" t="s">
        <v>372</v>
      </c>
      <c r="D139" s="3" t="s">
        <v>296</v>
      </c>
      <c r="E139" s="3" t="s">
        <v>21</v>
      </c>
      <c r="F139" s="3" t="s">
        <v>18</v>
      </c>
      <c r="G139" s="9">
        <v>129600000</v>
      </c>
      <c r="H139" s="9">
        <v>0</v>
      </c>
      <c r="I139" s="10">
        <v>0</v>
      </c>
      <c r="J139" s="3" t="s">
        <v>373</v>
      </c>
      <c r="K139" s="3" t="s">
        <v>452</v>
      </c>
      <c r="L139" s="3" t="s">
        <v>424</v>
      </c>
    </row>
    <row r="140" spans="1:12" ht="40.5">
      <c r="A140" s="3" t="s">
        <v>297</v>
      </c>
      <c r="B140" s="3" t="s">
        <v>371</v>
      </c>
      <c r="C140" s="3" t="s">
        <v>372</v>
      </c>
      <c r="D140" s="3" t="s">
        <v>298</v>
      </c>
      <c r="E140" s="3" t="s">
        <v>21</v>
      </c>
      <c r="F140" s="3" t="s">
        <v>18</v>
      </c>
      <c r="G140" s="9">
        <v>193484000</v>
      </c>
      <c r="H140" s="9">
        <v>0</v>
      </c>
      <c r="I140" s="10">
        <v>0</v>
      </c>
      <c r="J140" s="3" t="s">
        <v>373</v>
      </c>
      <c r="K140" s="3" t="s">
        <v>453</v>
      </c>
      <c r="L140" s="3" t="s">
        <v>424</v>
      </c>
    </row>
    <row r="141" spans="1:12" ht="67.5">
      <c r="A141" s="3" t="s">
        <v>299</v>
      </c>
      <c r="B141" s="3" t="s">
        <v>371</v>
      </c>
      <c r="C141" s="3" t="s">
        <v>372</v>
      </c>
      <c r="D141" s="3" t="s">
        <v>300</v>
      </c>
      <c r="E141" s="3" t="s">
        <v>21</v>
      </c>
      <c r="F141" s="3" t="s">
        <v>22</v>
      </c>
      <c r="G141" s="9">
        <v>176040000</v>
      </c>
      <c r="H141" s="9">
        <v>112422793.56</v>
      </c>
      <c r="I141" s="10">
        <v>64</v>
      </c>
      <c r="J141" s="3" t="s">
        <v>373</v>
      </c>
      <c r="K141" s="3" t="s">
        <v>454</v>
      </c>
      <c r="L141" s="3" t="s">
        <v>424</v>
      </c>
    </row>
    <row r="142" spans="1:12" ht="40.5">
      <c r="A142" s="3" t="s">
        <v>301</v>
      </c>
      <c r="B142" s="3" t="s">
        <v>371</v>
      </c>
      <c r="C142" s="3" t="s">
        <v>372</v>
      </c>
      <c r="D142" s="3" t="s">
        <v>302</v>
      </c>
      <c r="E142" s="3" t="s">
        <v>21</v>
      </c>
      <c r="F142" s="3" t="s">
        <v>18</v>
      </c>
      <c r="G142" s="9">
        <v>15000000</v>
      </c>
      <c r="H142" s="9">
        <v>0</v>
      </c>
      <c r="I142" s="10">
        <v>0</v>
      </c>
      <c r="J142" s="3" t="s">
        <v>373</v>
      </c>
      <c r="K142" s="3" t="s">
        <v>455</v>
      </c>
      <c r="L142" s="3" t="s">
        <v>45</v>
      </c>
    </row>
    <row r="143" spans="1:12" ht="40.5">
      <c r="A143" s="3" t="s">
        <v>303</v>
      </c>
      <c r="B143" s="3" t="s">
        <v>371</v>
      </c>
      <c r="C143" s="3" t="s">
        <v>372</v>
      </c>
      <c r="D143" s="3" t="s">
        <v>304</v>
      </c>
      <c r="E143" s="3" t="s">
        <v>21</v>
      </c>
      <c r="F143" s="3" t="s">
        <v>22</v>
      </c>
      <c r="G143" s="9">
        <v>125000000</v>
      </c>
      <c r="H143" s="9">
        <v>58581425.490000002</v>
      </c>
      <c r="I143" s="10">
        <v>47</v>
      </c>
      <c r="J143" s="3" t="s">
        <v>373</v>
      </c>
      <c r="K143" s="3" t="s">
        <v>456</v>
      </c>
      <c r="L143" s="3" t="s">
        <v>424</v>
      </c>
    </row>
    <row r="144" spans="1:12" ht="40.5">
      <c r="A144" s="3" t="s">
        <v>305</v>
      </c>
      <c r="B144" s="3" t="s">
        <v>371</v>
      </c>
      <c r="C144" s="3" t="s">
        <v>372</v>
      </c>
      <c r="D144" s="3" t="s">
        <v>457</v>
      </c>
      <c r="E144" s="3" t="s">
        <v>21</v>
      </c>
      <c r="F144" s="3" t="s">
        <v>18</v>
      </c>
      <c r="G144" s="9">
        <v>158732000</v>
      </c>
      <c r="H144" s="9">
        <v>0</v>
      </c>
      <c r="I144" s="10">
        <v>0</v>
      </c>
      <c r="J144" s="3" t="s">
        <v>373</v>
      </c>
      <c r="K144" s="3" t="s">
        <v>458</v>
      </c>
      <c r="L144" s="3" t="s">
        <v>424</v>
      </c>
    </row>
    <row r="145" spans="1:12" ht="40.5">
      <c r="A145" s="3" t="s">
        <v>307</v>
      </c>
      <c r="B145" s="3" t="s">
        <v>371</v>
      </c>
      <c r="C145" s="3" t="s">
        <v>372</v>
      </c>
      <c r="D145" s="3" t="s">
        <v>308</v>
      </c>
      <c r="E145" s="3" t="s">
        <v>21</v>
      </c>
      <c r="F145" s="3" t="s">
        <v>18</v>
      </c>
      <c r="G145" s="9">
        <v>151470000</v>
      </c>
      <c r="H145" s="9">
        <v>0</v>
      </c>
      <c r="I145" s="10">
        <v>0</v>
      </c>
      <c r="J145" s="3" t="s">
        <v>373</v>
      </c>
      <c r="K145" s="3" t="s">
        <v>459</v>
      </c>
      <c r="L145" s="3" t="s">
        <v>424</v>
      </c>
    </row>
    <row r="146" spans="1:12" ht="40.5">
      <c r="A146" s="3" t="s">
        <v>309</v>
      </c>
      <c r="B146" s="3" t="s">
        <v>371</v>
      </c>
      <c r="C146" s="3" t="s">
        <v>372</v>
      </c>
      <c r="D146" s="3" t="s">
        <v>310</v>
      </c>
      <c r="E146" s="3" t="s">
        <v>21</v>
      </c>
      <c r="F146" s="3" t="s">
        <v>22</v>
      </c>
      <c r="G146" s="9">
        <v>120950000</v>
      </c>
      <c r="H146" s="9">
        <v>92935094.099999994</v>
      </c>
      <c r="I146" s="10">
        <v>77</v>
      </c>
      <c r="J146" s="3" t="s">
        <v>373</v>
      </c>
      <c r="K146" s="3" t="s">
        <v>460</v>
      </c>
      <c r="L146" s="3" t="s">
        <v>424</v>
      </c>
    </row>
    <row r="147" spans="1:12" ht="40.5">
      <c r="A147" s="3" t="s">
        <v>311</v>
      </c>
      <c r="B147" s="3" t="s">
        <v>371</v>
      </c>
      <c r="C147" s="3" t="s">
        <v>372</v>
      </c>
      <c r="D147" s="3" t="s">
        <v>312</v>
      </c>
      <c r="E147" s="3" t="s">
        <v>21</v>
      </c>
      <c r="F147" s="3" t="s">
        <v>22</v>
      </c>
      <c r="G147" s="9">
        <v>197046000</v>
      </c>
      <c r="H147" s="9">
        <v>165834111</v>
      </c>
      <c r="I147" s="10">
        <v>84</v>
      </c>
      <c r="J147" s="3" t="s">
        <v>373</v>
      </c>
      <c r="K147" s="3" t="s">
        <v>461</v>
      </c>
      <c r="L147" s="3" t="s">
        <v>424</v>
      </c>
    </row>
    <row r="148" spans="1:12" ht="40.5">
      <c r="A148" s="3" t="s">
        <v>313</v>
      </c>
      <c r="B148" s="3" t="s">
        <v>371</v>
      </c>
      <c r="C148" s="3" t="s">
        <v>372</v>
      </c>
      <c r="D148" s="3" t="s">
        <v>314</v>
      </c>
      <c r="E148" s="3" t="s">
        <v>21</v>
      </c>
      <c r="F148" s="3" t="s">
        <v>18</v>
      </c>
      <c r="G148" s="9">
        <v>179046000</v>
      </c>
      <c r="H148" s="9">
        <v>0</v>
      </c>
      <c r="I148" s="10">
        <v>0</v>
      </c>
      <c r="J148" s="3" t="s">
        <v>373</v>
      </c>
      <c r="K148" s="3" t="s">
        <v>462</v>
      </c>
      <c r="L148" s="3" t="s">
        <v>424</v>
      </c>
    </row>
    <row r="149" spans="1:12" ht="40.5">
      <c r="A149" s="3" t="s">
        <v>315</v>
      </c>
      <c r="B149" s="3" t="s">
        <v>371</v>
      </c>
      <c r="C149" s="3" t="s">
        <v>372</v>
      </c>
      <c r="D149" s="3" t="s">
        <v>316</v>
      </c>
      <c r="E149" s="3" t="s">
        <v>21</v>
      </c>
      <c r="F149" s="3" t="s">
        <v>22</v>
      </c>
      <c r="G149" s="9">
        <v>159046000</v>
      </c>
      <c r="H149" s="9">
        <v>134058659.37</v>
      </c>
      <c r="I149" s="10">
        <v>84</v>
      </c>
      <c r="J149" s="3" t="s">
        <v>373</v>
      </c>
      <c r="K149" s="3" t="s">
        <v>463</v>
      </c>
      <c r="L149" s="3" t="s">
        <v>424</v>
      </c>
    </row>
    <row r="150" spans="1:12" ht="40.5">
      <c r="A150" s="3" t="s">
        <v>317</v>
      </c>
      <c r="B150" s="3" t="s">
        <v>371</v>
      </c>
      <c r="C150" s="3" t="s">
        <v>372</v>
      </c>
      <c r="D150" s="3" t="s">
        <v>318</v>
      </c>
      <c r="E150" s="3" t="s">
        <v>21</v>
      </c>
      <c r="F150" s="3" t="s">
        <v>18</v>
      </c>
      <c r="G150" s="9">
        <v>69650000</v>
      </c>
      <c r="H150" s="9">
        <v>0</v>
      </c>
      <c r="I150" s="10">
        <v>0</v>
      </c>
      <c r="J150" s="3" t="s">
        <v>373</v>
      </c>
      <c r="K150" s="3" t="s">
        <v>464</v>
      </c>
      <c r="L150" s="3" t="s">
        <v>424</v>
      </c>
    </row>
    <row r="151" spans="1:12" ht="27">
      <c r="A151" s="3" t="s">
        <v>329</v>
      </c>
      <c r="B151" s="3" t="s">
        <v>371</v>
      </c>
      <c r="C151" s="3" t="s">
        <v>372</v>
      </c>
      <c r="D151" s="3" t="s">
        <v>330</v>
      </c>
      <c r="E151" s="3" t="s">
        <v>21</v>
      </c>
      <c r="F151" s="3" t="s">
        <v>18</v>
      </c>
      <c r="G151" s="9">
        <v>45600000</v>
      </c>
      <c r="H151" s="9">
        <v>0</v>
      </c>
      <c r="I151" s="10">
        <v>0</v>
      </c>
      <c r="J151" s="3" t="s">
        <v>373</v>
      </c>
      <c r="K151" s="3" t="s">
        <v>465</v>
      </c>
      <c r="L151" s="3" t="s">
        <v>45</v>
      </c>
    </row>
    <row r="152" spans="1:12" ht="40.5">
      <c r="A152" s="3" t="s">
        <v>337</v>
      </c>
      <c r="B152" s="3" t="s">
        <v>371</v>
      </c>
      <c r="C152" s="3" t="s">
        <v>372</v>
      </c>
      <c r="D152" s="3" t="s">
        <v>338</v>
      </c>
      <c r="E152" s="3" t="s">
        <v>21</v>
      </c>
      <c r="F152" s="3" t="s">
        <v>18</v>
      </c>
      <c r="G152" s="9">
        <v>28450000</v>
      </c>
      <c r="H152" s="9">
        <v>0</v>
      </c>
      <c r="I152" s="10">
        <v>0</v>
      </c>
      <c r="J152" s="3" t="s">
        <v>373</v>
      </c>
      <c r="K152" s="3" t="s">
        <v>466</v>
      </c>
      <c r="L152" s="3" t="s">
        <v>424</v>
      </c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9"/>
  <sheetViews>
    <sheetView topLeftCell="B133" workbookViewId="0">
      <selection activeCell="F3" sqref="F3"/>
    </sheetView>
  </sheetViews>
  <sheetFormatPr defaultRowHeight="13.5"/>
  <cols>
    <col min="1" max="1" width="13" customWidth="1"/>
    <col min="2" max="2" width="30" customWidth="1"/>
    <col min="3" max="3" width="24" customWidth="1"/>
    <col min="4" max="4" width="42" customWidth="1"/>
    <col min="5" max="5" width="20" customWidth="1"/>
    <col min="6" max="6" width="22" customWidth="1"/>
    <col min="7" max="8" width="18" customWidth="1"/>
    <col min="9" max="9" width="15" customWidth="1"/>
    <col min="10" max="10" width="18" customWidth="1"/>
    <col min="11" max="11" width="44" customWidth="1"/>
    <col min="12" max="12" width="36" customWidth="1"/>
  </cols>
  <sheetData>
    <row r="1" spans="1:12" ht="17.649999999999999">
      <c r="A1" s="22" t="s">
        <v>362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>
      <c r="A2" t="s">
        <v>481</v>
      </c>
    </row>
    <row r="3" spans="1:12" ht="13.9">
      <c r="A3" s="1" t="s">
        <v>33</v>
      </c>
      <c r="B3" s="1" t="s">
        <v>364</v>
      </c>
      <c r="C3" s="1" t="s">
        <v>365</v>
      </c>
      <c r="D3" s="1" t="s">
        <v>35</v>
      </c>
      <c r="E3" s="1" t="s">
        <v>17</v>
      </c>
      <c r="F3" s="1" t="s">
        <v>15</v>
      </c>
      <c r="G3" s="1" t="s">
        <v>70</v>
      </c>
      <c r="H3" s="1" t="s">
        <v>366</v>
      </c>
      <c r="I3" s="1" t="s">
        <v>367</v>
      </c>
      <c r="J3" s="1" t="s">
        <v>368</v>
      </c>
      <c r="K3" s="1" t="s">
        <v>369</v>
      </c>
      <c r="L3" s="1" t="s">
        <v>370</v>
      </c>
    </row>
    <row r="4" spans="1:12" ht="27">
      <c r="A4" s="3" t="s">
        <v>47</v>
      </c>
      <c r="B4" s="3" t="s">
        <v>371</v>
      </c>
      <c r="C4" s="3" t="s">
        <v>372</v>
      </c>
      <c r="D4" s="3" t="s">
        <v>48</v>
      </c>
      <c r="E4" s="3" t="s">
        <v>19</v>
      </c>
      <c r="F4" s="3" t="s">
        <v>20</v>
      </c>
      <c r="G4" s="9">
        <v>300000000</v>
      </c>
      <c r="H4" s="9">
        <v>299999700</v>
      </c>
      <c r="I4" s="10">
        <v>100</v>
      </c>
      <c r="J4" s="3" t="s">
        <v>373</v>
      </c>
      <c r="K4" s="3" t="s">
        <v>374</v>
      </c>
      <c r="L4" s="3" t="s">
        <v>375</v>
      </c>
    </row>
    <row r="5" spans="1:12" ht="27">
      <c r="A5" s="3" t="s">
        <v>57</v>
      </c>
      <c r="B5" s="3" t="s">
        <v>371</v>
      </c>
      <c r="C5" s="3" t="s">
        <v>372</v>
      </c>
      <c r="D5" s="3" t="s">
        <v>58</v>
      </c>
      <c r="E5" s="3" t="s">
        <v>19</v>
      </c>
      <c r="F5" s="3" t="s">
        <v>20</v>
      </c>
      <c r="G5" s="9">
        <v>743952000</v>
      </c>
      <c r="H5" s="9">
        <v>743882568</v>
      </c>
      <c r="I5" s="10">
        <v>100</v>
      </c>
      <c r="J5" s="3" t="s">
        <v>373</v>
      </c>
      <c r="K5" s="3" t="s">
        <v>376</v>
      </c>
      <c r="L5" s="3" t="s">
        <v>377</v>
      </c>
    </row>
    <row r="6" spans="1:12" ht="27">
      <c r="A6" s="3" t="s">
        <v>63</v>
      </c>
      <c r="B6" s="3" t="s">
        <v>371</v>
      </c>
      <c r="C6" s="3" t="s">
        <v>372</v>
      </c>
      <c r="D6" s="3" t="s">
        <v>64</v>
      </c>
      <c r="E6" s="3" t="s">
        <v>19</v>
      </c>
      <c r="F6" s="3" t="s">
        <v>18</v>
      </c>
      <c r="G6" s="9">
        <v>4800000</v>
      </c>
      <c r="H6" s="9">
        <v>0</v>
      </c>
      <c r="I6" s="10">
        <v>0</v>
      </c>
      <c r="J6" s="3" t="s">
        <v>373</v>
      </c>
      <c r="K6" s="3" t="s">
        <v>378</v>
      </c>
      <c r="L6" s="3" t="s">
        <v>377</v>
      </c>
    </row>
    <row r="7" spans="1:12" ht="27">
      <c r="A7" s="3" t="s">
        <v>65</v>
      </c>
      <c r="B7" s="3" t="s">
        <v>371</v>
      </c>
      <c r="C7" s="3" t="s">
        <v>372</v>
      </c>
      <c r="D7" s="3" t="s">
        <v>66</v>
      </c>
      <c r="E7" s="3" t="s">
        <v>19</v>
      </c>
      <c r="F7" s="3" t="s">
        <v>20</v>
      </c>
      <c r="G7" s="9">
        <v>253440000</v>
      </c>
      <c r="H7" s="9">
        <v>247104000</v>
      </c>
      <c r="I7" s="10">
        <v>98</v>
      </c>
      <c r="J7" s="3" t="s">
        <v>373</v>
      </c>
      <c r="K7" s="3" t="s">
        <v>378</v>
      </c>
      <c r="L7" s="3" t="s">
        <v>377</v>
      </c>
    </row>
    <row r="8" spans="1:12" ht="27">
      <c r="A8" s="3" t="s">
        <v>79</v>
      </c>
      <c r="B8" s="3" t="s">
        <v>371</v>
      </c>
      <c r="C8" s="3" t="s">
        <v>372</v>
      </c>
      <c r="D8" s="3" t="s">
        <v>81</v>
      </c>
      <c r="E8" s="3" t="s">
        <v>19</v>
      </c>
      <c r="F8" s="3" t="s">
        <v>18</v>
      </c>
      <c r="G8" s="9">
        <v>24000000</v>
      </c>
      <c r="H8" s="9">
        <v>0</v>
      </c>
      <c r="I8" s="10">
        <v>0</v>
      </c>
      <c r="J8" s="3" t="s">
        <v>373</v>
      </c>
      <c r="K8" s="3" t="s">
        <v>378</v>
      </c>
      <c r="L8" s="3" t="s">
        <v>377</v>
      </c>
    </row>
    <row r="9" spans="1:12" ht="27">
      <c r="A9" s="3" t="s">
        <v>82</v>
      </c>
      <c r="B9" s="3" t="s">
        <v>371</v>
      </c>
      <c r="C9" s="3" t="s">
        <v>372</v>
      </c>
      <c r="D9" s="3" t="s">
        <v>83</v>
      </c>
      <c r="E9" s="3" t="s">
        <v>19</v>
      </c>
      <c r="F9" s="3" t="s">
        <v>18</v>
      </c>
      <c r="G9" s="9">
        <v>105600000</v>
      </c>
      <c r="H9" s="9">
        <v>0</v>
      </c>
      <c r="I9" s="10">
        <v>0</v>
      </c>
      <c r="J9" s="3" t="s">
        <v>373</v>
      </c>
      <c r="K9" s="3" t="s">
        <v>378</v>
      </c>
      <c r="L9" s="3" t="s">
        <v>377</v>
      </c>
    </row>
    <row r="10" spans="1:12" ht="27">
      <c r="A10" s="3" t="s">
        <v>88</v>
      </c>
      <c r="B10" s="3" t="s">
        <v>371</v>
      </c>
      <c r="C10" s="3" t="s">
        <v>372</v>
      </c>
      <c r="D10" s="3" t="s">
        <v>89</v>
      </c>
      <c r="E10" s="3" t="s">
        <v>19</v>
      </c>
      <c r="F10" s="3" t="s">
        <v>24</v>
      </c>
      <c r="G10" s="9">
        <v>72000000</v>
      </c>
      <c r="H10" s="9">
        <v>71757504</v>
      </c>
      <c r="I10" s="10">
        <v>100</v>
      </c>
      <c r="J10" s="3" t="s">
        <v>373</v>
      </c>
      <c r="K10" s="3" t="s">
        <v>378</v>
      </c>
      <c r="L10" s="3" t="s">
        <v>377</v>
      </c>
    </row>
    <row r="11" spans="1:12" ht="27">
      <c r="A11" s="3" t="s">
        <v>90</v>
      </c>
      <c r="B11" s="3" t="s">
        <v>371</v>
      </c>
      <c r="C11" s="3" t="s">
        <v>372</v>
      </c>
      <c r="D11" s="3" t="s">
        <v>91</v>
      </c>
      <c r="E11" s="3" t="s">
        <v>19</v>
      </c>
      <c r="F11" s="3" t="s">
        <v>18</v>
      </c>
      <c r="G11" s="9">
        <v>168000000</v>
      </c>
      <c r="H11" s="9">
        <v>0</v>
      </c>
      <c r="I11" s="10">
        <v>0</v>
      </c>
      <c r="J11" s="3" t="s">
        <v>373</v>
      </c>
      <c r="K11" s="3" t="s">
        <v>378</v>
      </c>
      <c r="L11" s="3" t="s">
        <v>377</v>
      </c>
    </row>
    <row r="12" spans="1:12" ht="27">
      <c r="A12" s="3" t="s">
        <v>132</v>
      </c>
      <c r="B12" s="3" t="s">
        <v>371</v>
      </c>
      <c r="C12" s="3" t="s">
        <v>372</v>
      </c>
      <c r="D12" s="3" t="s">
        <v>133</v>
      </c>
      <c r="E12" s="3" t="s">
        <v>19</v>
      </c>
      <c r="F12" s="3" t="s">
        <v>22</v>
      </c>
      <c r="G12" s="9">
        <v>145600000</v>
      </c>
      <c r="H12" s="9">
        <v>39177600</v>
      </c>
      <c r="I12" s="10">
        <v>27</v>
      </c>
      <c r="J12" s="3" t="s">
        <v>373</v>
      </c>
      <c r="K12" s="3" t="s">
        <v>378</v>
      </c>
      <c r="L12" s="3" t="s">
        <v>377</v>
      </c>
    </row>
    <row r="13" spans="1:12" ht="27">
      <c r="A13" s="3" t="s">
        <v>137</v>
      </c>
      <c r="B13" s="3" t="s">
        <v>371</v>
      </c>
      <c r="C13" s="3" t="s">
        <v>372</v>
      </c>
      <c r="D13" s="3" t="s">
        <v>138</v>
      </c>
      <c r="E13" s="3" t="s">
        <v>19</v>
      </c>
      <c r="F13" s="3" t="s">
        <v>18</v>
      </c>
      <c r="G13" s="9">
        <v>38400000</v>
      </c>
      <c r="H13" s="9">
        <v>0</v>
      </c>
      <c r="I13" s="10">
        <v>0</v>
      </c>
      <c r="J13" s="3" t="s">
        <v>373</v>
      </c>
      <c r="K13" s="3" t="s">
        <v>378</v>
      </c>
      <c r="L13" s="3" t="s">
        <v>377</v>
      </c>
    </row>
    <row r="14" spans="1:12" ht="27">
      <c r="A14" s="3" t="s">
        <v>160</v>
      </c>
      <c r="B14" s="3" t="s">
        <v>371</v>
      </c>
      <c r="C14" s="3" t="s">
        <v>372</v>
      </c>
      <c r="D14" s="3" t="s">
        <v>162</v>
      </c>
      <c r="E14" s="3" t="s">
        <v>19</v>
      </c>
      <c r="F14" s="3" t="s">
        <v>18</v>
      </c>
      <c r="G14" s="9">
        <v>57600000</v>
      </c>
      <c r="H14" s="9">
        <v>0</v>
      </c>
      <c r="I14" s="10">
        <v>0</v>
      </c>
      <c r="J14" s="3" t="s">
        <v>373</v>
      </c>
      <c r="K14" s="3" t="s">
        <v>378</v>
      </c>
      <c r="L14" s="3" t="s">
        <v>377</v>
      </c>
    </row>
    <row r="15" spans="1:12" ht="27">
      <c r="A15" s="3" t="s">
        <v>165</v>
      </c>
      <c r="B15" s="3" t="s">
        <v>371</v>
      </c>
      <c r="C15" s="3" t="s">
        <v>372</v>
      </c>
      <c r="D15" s="3" t="s">
        <v>166</v>
      </c>
      <c r="E15" s="3" t="s">
        <v>19</v>
      </c>
      <c r="F15" s="3" t="s">
        <v>18</v>
      </c>
      <c r="G15" s="9">
        <v>44800000</v>
      </c>
      <c r="H15" s="9">
        <v>0</v>
      </c>
      <c r="I15" s="10">
        <v>0</v>
      </c>
      <c r="J15" s="3" t="s">
        <v>373</v>
      </c>
      <c r="K15" s="3" t="s">
        <v>379</v>
      </c>
      <c r="L15" s="3" t="s">
        <v>380</v>
      </c>
    </row>
    <row r="16" spans="1:12" ht="27">
      <c r="A16" s="3" t="s">
        <v>167</v>
      </c>
      <c r="B16" s="3" t="s">
        <v>371</v>
      </c>
      <c r="C16" s="3" t="s">
        <v>372</v>
      </c>
      <c r="D16" s="3" t="s">
        <v>168</v>
      </c>
      <c r="E16" s="3" t="s">
        <v>19</v>
      </c>
      <c r="F16" s="3" t="s">
        <v>18</v>
      </c>
      <c r="G16" s="9">
        <v>156800000</v>
      </c>
      <c r="H16" s="9">
        <v>0</v>
      </c>
      <c r="I16" s="10">
        <v>0</v>
      </c>
      <c r="J16" s="3" t="s">
        <v>373</v>
      </c>
      <c r="K16" s="3" t="s">
        <v>379</v>
      </c>
      <c r="L16" s="3" t="s">
        <v>380</v>
      </c>
    </row>
    <row r="17" spans="1:12" ht="27">
      <c r="A17" s="3" t="s">
        <v>187</v>
      </c>
      <c r="B17" s="3" t="s">
        <v>371</v>
      </c>
      <c r="C17" s="3" t="s">
        <v>372</v>
      </c>
      <c r="D17" s="3" t="s">
        <v>188</v>
      </c>
      <c r="E17" s="3" t="s">
        <v>19</v>
      </c>
      <c r="F17" s="3" t="s">
        <v>18</v>
      </c>
      <c r="G17" s="9">
        <v>3000000</v>
      </c>
      <c r="H17" s="9">
        <v>0</v>
      </c>
      <c r="I17" s="10">
        <v>0</v>
      </c>
      <c r="J17" s="3" t="s">
        <v>373</v>
      </c>
      <c r="K17" s="3" t="s">
        <v>379</v>
      </c>
      <c r="L17" s="3" t="s">
        <v>380</v>
      </c>
    </row>
    <row r="18" spans="1:12" ht="27">
      <c r="A18" s="3" t="s">
        <v>189</v>
      </c>
      <c r="B18" s="3" t="s">
        <v>371</v>
      </c>
      <c r="C18" s="3" t="s">
        <v>372</v>
      </c>
      <c r="D18" s="3" t="s">
        <v>190</v>
      </c>
      <c r="E18" s="3" t="s">
        <v>19</v>
      </c>
      <c r="F18" s="3" t="s">
        <v>18</v>
      </c>
      <c r="G18" s="9">
        <v>5871000</v>
      </c>
      <c r="H18" s="9">
        <v>0</v>
      </c>
      <c r="I18" s="10">
        <v>0</v>
      </c>
      <c r="J18" s="3" t="s">
        <v>373</v>
      </c>
      <c r="K18" s="3" t="s">
        <v>379</v>
      </c>
      <c r="L18" s="3" t="s">
        <v>380</v>
      </c>
    </row>
    <row r="19" spans="1:12" ht="27">
      <c r="A19" s="3" t="s">
        <v>191</v>
      </c>
      <c r="B19" s="3" t="s">
        <v>371</v>
      </c>
      <c r="C19" s="3" t="s">
        <v>372</v>
      </c>
      <c r="D19" s="3" t="s">
        <v>193</v>
      </c>
      <c r="E19" s="3" t="s">
        <v>19</v>
      </c>
      <c r="F19" s="3" t="s">
        <v>20</v>
      </c>
      <c r="G19" s="9">
        <v>15990000</v>
      </c>
      <c r="H19" s="9">
        <v>9312500</v>
      </c>
      <c r="I19" s="10">
        <v>58</v>
      </c>
      <c r="J19" s="3" t="s">
        <v>373</v>
      </c>
      <c r="K19" s="3" t="s">
        <v>379</v>
      </c>
      <c r="L19" s="3" t="s">
        <v>380</v>
      </c>
    </row>
    <row r="20" spans="1:12" ht="27">
      <c r="A20" s="3" t="s">
        <v>201</v>
      </c>
      <c r="B20" s="3" t="s">
        <v>371</v>
      </c>
      <c r="C20" s="3" t="s">
        <v>372</v>
      </c>
      <c r="D20" s="3" t="s">
        <v>202</v>
      </c>
      <c r="E20" s="3" t="s">
        <v>19</v>
      </c>
      <c r="F20" s="3" t="s">
        <v>18</v>
      </c>
      <c r="G20" s="9">
        <v>34020000</v>
      </c>
      <c r="H20" s="9">
        <v>0</v>
      </c>
      <c r="I20" s="10">
        <v>0</v>
      </c>
      <c r="J20" s="3" t="s">
        <v>373</v>
      </c>
      <c r="K20" s="3" t="s">
        <v>382</v>
      </c>
      <c r="L20" s="3" t="s">
        <v>383</v>
      </c>
    </row>
    <row r="21" spans="1:12" ht="27">
      <c r="A21" s="3" t="s">
        <v>203</v>
      </c>
      <c r="B21" s="3" t="s">
        <v>371</v>
      </c>
      <c r="C21" s="3" t="s">
        <v>372</v>
      </c>
      <c r="D21" s="3" t="s">
        <v>204</v>
      </c>
      <c r="E21" s="3" t="s">
        <v>19</v>
      </c>
      <c r="F21" s="3" t="s">
        <v>18</v>
      </c>
      <c r="G21" s="9">
        <v>17920000</v>
      </c>
      <c r="H21" s="9">
        <v>0</v>
      </c>
      <c r="I21" s="10">
        <v>0</v>
      </c>
      <c r="J21" s="3" t="s">
        <v>373</v>
      </c>
      <c r="K21" s="3" t="s">
        <v>384</v>
      </c>
      <c r="L21" s="3" t="s">
        <v>383</v>
      </c>
    </row>
    <row r="22" spans="1:12" ht="27">
      <c r="A22" s="3" t="s">
        <v>205</v>
      </c>
      <c r="B22" s="3" t="s">
        <v>371</v>
      </c>
      <c r="C22" s="3" t="s">
        <v>372</v>
      </c>
      <c r="D22" s="3" t="s">
        <v>206</v>
      </c>
      <c r="E22" s="3" t="s">
        <v>19</v>
      </c>
      <c r="F22" s="3" t="s">
        <v>18</v>
      </c>
      <c r="G22" s="9">
        <v>82730000</v>
      </c>
      <c r="H22" s="9">
        <v>0</v>
      </c>
      <c r="I22" s="10">
        <v>0</v>
      </c>
      <c r="J22" s="3" t="s">
        <v>373</v>
      </c>
      <c r="K22" s="3" t="s">
        <v>382</v>
      </c>
      <c r="L22" s="3" t="s">
        <v>383</v>
      </c>
    </row>
    <row r="23" spans="1:12" ht="27">
      <c r="A23" s="3" t="s">
        <v>207</v>
      </c>
      <c r="B23" s="3" t="s">
        <v>371</v>
      </c>
      <c r="C23" s="3" t="s">
        <v>372</v>
      </c>
      <c r="D23" s="3" t="s">
        <v>208</v>
      </c>
      <c r="E23" s="3" t="s">
        <v>19</v>
      </c>
      <c r="F23" s="3" t="s">
        <v>18</v>
      </c>
      <c r="G23" s="9">
        <v>31680000</v>
      </c>
      <c r="H23" s="9">
        <v>0</v>
      </c>
      <c r="I23" s="10">
        <v>0</v>
      </c>
      <c r="J23" s="3" t="s">
        <v>373</v>
      </c>
      <c r="K23" s="3" t="s">
        <v>384</v>
      </c>
      <c r="L23" s="3" t="s">
        <v>383</v>
      </c>
    </row>
    <row r="24" spans="1:12" ht="27">
      <c r="A24" s="3" t="s">
        <v>216</v>
      </c>
      <c r="B24" s="3" t="s">
        <v>371</v>
      </c>
      <c r="C24" s="3" t="s">
        <v>372</v>
      </c>
      <c r="D24" s="3" t="s">
        <v>217</v>
      </c>
      <c r="E24" s="3" t="s">
        <v>19</v>
      </c>
      <c r="F24" s="3" t="s">
        <v>18</v>
      </c>
      <c r="G24" s="9">
        <v>14400000</v>
      </c>
      <c r="H24" s="9">
        <v>0</v>
      </c>
      <c r="I24" s="10">
        <v>0</v>
      </c>
      <c r="J24" s="3" t="s">
        <v>373</v>
      </c>
      <c r="K24" s="3" t="s">
        <v>385</v>
      </c>
      <c r="L24" s="3" t="s">
        <v>45</v>
      </c>
    </row>
    <row r="25" spans="1:12" ht="27">
      <c r="A25" s="3" t="s">
        <v>224</v>
      </c>
      <c r="B25" s="3" t="s">
        <v>371</v>
      </c>
      <c r="C25" s="3" t="s">
        <v>372</v>
      </c>
      <c r="D25" s="3" t="s">
        <v>225</v>
      </c>
      <c r="E25" s="3" t="s">
        <v>19</v>
      </c>
      <c r="F25" s="3" t="s">
        <v>18</v>
      </c>
      <c r="G25" s="9">
        <v>27520000</v>
      </c>
      <c r="H25" s="9">
        <v>0</v>
      </c>
      <c r="I25" s="10">
        <v>0</v>
      </c>
      <c r="J25" s="3" t="s">
        <v>373</v>
      </c>
      <c r="K25" s="3" t="s">
        <v>385</v>
      </c>
      <c r="L25" s="3" t="s">
        <v>45</v>
      </c>
    </row>
    <row r="26" spans="1:12" ht="27">
      <c r="A26" s="3" t="s">
        <v>228</v>
      </c>
      <c r="B26" s="3" t="s">
        <v>371</v>
      </c>
      <c r="C26" s="3" t="s">
        <v>372</v>
      </c>
      <c r="D26" s="3" t="s">
        <v>229</v>
      </c>
      <c r="E26" s="3" t="s">
        <v>19</v>
      </c>
      <c r="F26" s="3" t="s">
        <v>18</v>
      </c>
      <c r="G26" s="9">
        <v>7680000</v>
      </c>
      <c r="H26" s="9">
        <v>0</v>
      </c>
      <c r="I26" s="10">
        <v>0</v>
      </c>
      <c r="J26" s="3" t="s">
        <v>373</v>
      </c>
      <c r="K26" s="3" t="s">
        <v>386</v>
      </c>
      <c r="L26" s="3" t="s">
        <v>45</v>
      </c>
    </row>
    <row r="27" spans="1:12" ht="27">
      <c r="A27" s="3" t="s">
        <v>230</v>
      </c>
      <c r="B27" s="3" t="s">
        <v>371</v>
      </c>
      <c r="C27" s="3" t="s">
        <v>372</v>
      </c>
      <c r="D27" s="3" t="s">
        <v>231</v>
      </c>
      <c r="E27" s="3" t="s">
        <v>19</v>
      </c>
      <c r="F27" s="3" t="s">
        <v>18</v>
      </c>
      <c r="G27" s="9">
        <v>28800000</v>
      </c>
      <c r="H27" s="9">
        <v>0</v>
      </c>
      <c r="I27" s="10">
        <v>0</v>
      </c>
      <c r="J27" s="3" t="s">
        <v>373</v>
      </c>
      <c r="K27" s="3" t="s">
        <v>386</v>
      </c>
      <c r="L27" s="3" t="s">
        <v>45</v>
      </c>
    </row>
    <row r="28" spans="1:12" ht="27">
      <c r="A28" s="3" t="s">
        <v>234</v>
      </c>
      <c r="B28" s="3" t="s">
        <v>371</v>
      </c>
      <c r="C28" s="3" t="s">
        <v>372</v>
      </c>
      <c r="D28" s="3" t="s">
        <v>235</v>
      </c>
      <c r="E28" s="3" t="s">
        <v>19</v>
      </c>
      <c r="F28" s="3" t="s">
        <v>18</v>
      </c>
      <c r="G28" s="9">
        <v>10441000</v>
      </c>
      <c r="H28" s="9">
        <v>0</v>
      </c>
      <c r="I28" s="10">
        <v>0</v>
      </c>
      <c r="J28" s="3" t="s">
        <v>373</v>
      </c>
      <c r="K28" s="3" t="s">
        <v>387</v>
      </c>
      <c r="L28" s="3" t="s">
        <v>45</v>
      </c>
    </row>
    <row r="29" spans="1:12" ht="27">
      <c r="A29" s="3" t="s">
        <v>238</v>
      </c>
      <c r="B29" s="3" t="s">
        <v>371</v>
      </c>
      <c r="C29" s="3" t="s">
        <v>372</v>
      </c>
      <c r="D29" s="3" t="s">
        <v>240</v>
      </c>
      <c r="E29" s="3" t="s">
        <v>19</v>
      </c>
      <c r="F29" s="3" t="s">
        <v>22</v>
      </c>
      <c r="G29" s="9">
        <v>114356000</v>
      </c>
      <c r="H29" s="9">
        <v>6164812</v>
      </c>
      <c r="I29" s="10">
        <v>5</v>
      </c>
      <c r="J29" s="3" t="s">
        <v>373</v>
      </c>
      <c r="K29" s="3" t="s">
        <v>389</v>
      </c>
      <c r="L29" s="3" t="s">
        <v>45</v>
      </c>
    </row>
    <row r="30" spans="1:12" ht="27">
      <c r="A30" s="3" t="s">
        <v>241</v>
      </c>
      <c r="B30" s="3" t="s">
        <v>371</v>
      </c>
      <c r="C30" s="3" t="s">
        <v>372</v>
      </c>
      <c r="D30" s="3" t="s">
        <v>242</v>
      </c>
      <c r="E30" s="3" t="s">
        <v>19</v>
      </c>
      <c r="F30" s="3" t="s">
        <v>24</v>
      </c>
      <c r="G30" s="9">
        <v>10080000</v>
      </c>
      <c r="H30" s="9">
        <v>7176000</v>
      </c>
      <c r="I30" s="10">
        <v>71</v>
      </c>
      <c r="J30" s="3" t="s">
        <v>373</v>
      </c>
      <c r="K30" s="3" t="s">
        <v>390</v>
      </c>
      <c r="L30" s="3" t="s">
        <v>45</v>
      </c>
    </row>
    <row r="31" spans="1:12" ht="27">
      <c r="A31" s="3" t="s">
        <v>247</v>
      </c>
      <c r="B31" s="3" t="s">
        <v>371</v>
      </c>
      <c r="C31" s="3" t="s">
        <v>372</v>
      </c>
      <c r="D31" s="3" t="s">
        <v>249</v>
      </c>
      <c r="E31" s="3" t="s">
        <v>19</v>
      </c>
      <c r="F31" s="3" t="s">
        <v>20</v>
      </c>
      <c r="G31" s="9">
        <v>3200040000</v>
      </c>
      <c r="H31" s="9">
        <v>3011121866</v>
      </c>
      <c r="I31" s="10">
        <v>94</v>
      </c>
      <c r="J31" s="3" t="s">
        <v>373</v>
      </c>
      <c r="K31" s="3" t="s">
        <v>391</v>
      </c>
      <c r="L31" s="3" t="s">
        <v>45</v>
      </c>
    </row>
    <row r="32" spans="1:12" ht="27">
      <c r="A32" s="3" t="s">
        <v>260</v>
      </c>
      <c r="B32" s="3" t="s">
        <v>371</v>
      </c>
      <c r="C32" s="3" t="s">
        <v>372</v>
      </c>
      <c r="D32" s="3" t="s">
        <v>261</v>
      </c>
      <c r="E32" s="3" t="s">
        <v>19</v>
      </c>
      <c r="F32" s="3" t="s">
        <v>24</v>
      </c>
      <c r="G32" s="9">
        <v>120000000</v>
      </c>
      <c r="H32" s="9">
        <v>119200680</v>
      </c>
      <c r="I32" s="10">
        <v>99</v>
      </c>
      <c r="J32" s="3" t="s">
        <v>373</v>
      </c>
      <c r="K32" s="3" t="s">
        <v>392</v>
      </c>
      <c r="L32" s="3" t="s">
        <v>393</v>
      </c>
    </row>
    <row r="33" spans="1:12" ht="27">
      <c r="A33" s="3" t="s">
        <v>262</v>
      </c>
      <c r="B33" s="3" t="s">
        <v>371</v>
      </c>
      <c r="C33" s="3" t="s">
        <v>372</v>
      </c>
      <c r="D33" s="3" t="s">
        <v>263</v>
      </c>
      <c r="E33" s="3" t="s">
        <v>19</v>
      </c>
      <c r="F33" s="3" t="s">
        <v>22</v>
      </c>
      <c r="G33" s="9">
        <v>36000000</v>
      </c>
      <c r="H33" s="9">
        <v>35760204</v>
      </c>
      <c r="I33" s="10">
        <v>99</v>
      </c>
      <c r="J33" s="3" t="s">
        <v>373</v>
      </c>
      <c r="K33" s="3" t="s">
        <v>392</v>
      </c>
      <c r="L33" s="3" t="s">
        <v>393</v>
      </c>
    </row>
    <row r="34" spans="1:12" ht="27">
      <c r="A34" s="3" t="s">
        <v>268</v>
      </c>
      <c r="B34" s="3" t="s">
        <v>371</v>
      </c>
      <c r="C34" s="3" t="s">
        <v>372</v>
      </c>
      <c r="D34" s="3" t="s">
        <v>269</v>
      </c>
      <c r="E34" s="3" t="s">
        <v>19</v>
      </c>
      <c r="F34" s="3" t="s">
        <v>18</v>
      </c>
      <c r="G34" s="9">
        <v>119760000</v>
      </c>
      <c r="H34" s="9">
        <v>0</v>
      </c>
      <c r="I34" s="10">
        <v>0</v>
      </c>
      <c r="J34" s="3" t="s">
        <v>373</v>
      </c>
      <c r="K34" s="3" t="s">
        <v>394</v>
      </c>
      <c r="L34" s="3" t="s">
        <v>45</v>
      </c>
    </row>
    <row r="35" spans="1:12" ht="27">
      <c r="A35" s="3" t="s">
        <v>319</v>
      </c>
      <c r="B35" s="3" t="s">
        <v>371</v>
      </c>
      <c r="C35" s="3" t="s">
        <v>372</v>
      </c>
      <c r="D35" s="3" t="s">
        <v>320</v>
      </c>
      <c r="E35" s="3" t="s">
        <v>19</v>
      </c>
      <c r="F35" s="3" t="s">
        <v>20</v>
      </c>
      <c r="G35" s="9">
        <v>218560000</v>
      </c>
      <c r="H35" s="9">
        <v>217661400</v>
      </c>
      <c r="I35" s="10">
        <v>100</v>
      </c>
      <c r="J35" s="3" t="s">
        <v>373</v>
      </c>
      <c r="K35" s="3" t="s">
        <v>395</v>
      </c>
      <c r="L35" s="3" t="s">
        <v>45</v>
      </c>
    </row>
    <row r="36" spans="1:12" ht="27">
      <c r="A36" s="3" t="s">
        <v>321</v>
      </c>
      <c r="B36" s="3" t="s">
        <v>371</v>
      </c>
      <c r="C36" s="3" t="s">
        <v>372</v>
      </c>
      <c r="D36" s="3" t="s">
        <v>322</v>
      </c>
      <c r="E36" s="3" t="s">
        <v>19</v>
      </c>
      <c r="F36" s="3" t="s">
        <v>20</v>
      </c>
      <c r="G36" s="9">
        <v>86080000</v>
      </c>
      <c r="H36" s="9">
        <v>96386400</v>
      </c>
      <c r="I36" s="10">
        <v>112</v>
      </c>
      <c r="J36" s="3" t="s">
        <v>373</v>
      </c>
      <c r="K36" s="3" t="s">
        <v>396</v>
      </c>
      <c r="L36" s="3" t="s">
        <v>45</v>
      </c>
    </row>
    <row r="37" spans="1:12" ht="27">
      <c r="A37" s="3" t="s">
        <v>323</v>
      </c>
      <c r="B37" s="3" t="s">
        <v>371</v>
      </c>
      <c r="C37" s="3" t="s">
        <v>372</v>
      </c>
      <c r="D37" s="3" t="s">
        <v>324</v>
      </c>
      <c r="E37" s="3" t="s">
        <v>19</v>
      </c>
      <c r="F37" s="3" t="s">
        <v>20</v>
      </c>
      <c r="G37" s="9">
        <v>395840000</v>
      </c>
      <c r="H37" s="9">
        <v>240966000</v>
      </c>
      <c r="I37" s="10">
        <v>61</v>
      </c>
      <c r="J37" s="3" t="s">
        <v>373</v>
      </c>
      <c r="K37" s="3" t="s">
        <v>397</v>
      </c>
      <c r="L37" s="3" t="s">
        <v>45</v>
      </c>
    </row>
    <row r="38" spans="1:12" ht="27">
      <c r="A38" s="3" t="s">
        <v>325</v>
      </c>
      <c r="B38" s="3" t="s">
        <v>371</v>
      </c>
      <c r="C38" s="3" t="s">
        <v>372</v>
      </c>
      <c r="D38" s="3" t="s">
        <v>326</v>
      </c>
      <c r="E38" s="3" t="s">
        <v>19</v>
      </c>
      <c r="F38" s="3" t="s">
        <v>20</v>
      </c>
      <c r="G38" s="9">
        <v>405120000</v>
      </c>
      <c r="H38" s="9">
        <v>226828800</v>
      </c>
      <c r="I38" s="10">
        <v>56</v>
      </c>
      <c r="J38" s="3" t="s">
        <v>373</v>
      </c>
      <c r="K38" s="3" t="s">
        <v>398</v>
      </c>
      <c r="L38" s="3" t="s">
        <v>45</v>
      </c>
    </row>
    <row r="39" spans="1:12" ht="27">
      <c r="A39" s="3" t="s">
        <v>327</v>
      </c>
      <c r="B39" s="3" t="s">
        <v>371</v>
      </c>
      <c r="C39" s="3" t="s">
        <v>372</v>
      </c>
      <c r="D39" s="3" t="s">
        <v>328</v>
      </c>
      <c r="E39" s="3" t="s">
        <v>19</v>
      </c>
      <c r="F39" s="3" t="s">
        <v>20</v>
      </c>
      <c r="G39" s="9">
        <v>192000000</v>
      </c>
      <c r="H39" s="9">
        <v>89595000</v>
      </c>
      <c r="I39" s="10">
        <v>47</v>
      </c>
      <c r="J39" s="3" t="s">
        <v>373</v>
      </c>
      <c r="K39" s="3" t="s">
        <v>399</v>
      </c>
      <c r="L39" s="3" t="s">
        <v>45</v>
      </c>
    </row>
    <row r="40" spans="1:12" ht="27">
      <c r="A40" s="3" t="s">
        <v>331</v>
      </c>
      <c r="B40" s="3" t="s">
        <v>371</v>
      </c>
      <c r="C40" s="3" t="s">
        <v>372</v>
      </c>
      <c r="D40" s="3" t="s">
        <v>332</v>
      </c>
      <c r="E40" s="3" t="s">
        <v>19</v>
      </c>
      <c r="F40" s="3" t="s">
        <v>22</v>
      </c>
      <c r="G40" s="9">
        <v>33600000</v>
      </c>
      <c r="H40" s="9">
        <v>27984000</v>
      </c>
      <c r="I40" s="10">
        <v>83</v>
      </c>
      <c r="J40" s="3" t="s">
        <v>373</v>
      </c>
      <c r="K40" s="3" t="s">
        <v>399</v>
      </c>
      <c r="L40" s="3" t="s">
        <v>45</v>
      </c>
    </row>
    <row r="41" spans="1:12" ht="27">
      <c r="A41" s="3" t="s">
        <v>333</v>
      </c>
      <c r="B41" s="3" t="s">
        <v>371</v>
      </c>
      <c r="C41" s="3" t="s">
        <v>372</v>
      </c>
      <c r="D41" s="3" t="s">
        <v>334</v>
      </c>
      <c r="E41" s="3" t="s">
        <v>19</v>
      </c>
      <c r="F41" s="3" t="s">
        <v>20</v>
      </c>
      <c r="G41" s="9">
        <v>117600000</v>
      </c>
      <c r="H41" s="9">
        <v>95145559</v>
      </c>
      <c r="I41" s="10">
        <v>81</v>
      </c>
      <c r="J41" s="3" t="s">
        <v>373</v>
      </c>
      <c r="K41" s="3" t="s">
        <v>400</v>
      </c>
      <c r="L41" s="3" t="s">
        <v>45</v>
      </c>
    </row>
    <row r="42" spans="1:12" ht="27">
      <c r="A42" s="3" t="s">
        <v>335</v>
      </c>
      <c r="B42" s="3" t="s">
        <v>371</v>
      </c>
      <c r="C42" s="3" t="s">
        <v>372</v>
      </c>
      <c r="D42" s="3" t="s">
        <v>336</v>
      </c>
      <c r="E42" s="3" t="s">
        <v>19</v>
      </c>
      <c r="F42" s="3" t="s">
        <v>20</v>
      </c>
      <c r="G42" s="9">
        <v>79200000</v>
      </c>
      <c r="H42" s="9">
        <v>78672449</v>
      </c>
      <c r="I42" s="10">
        <v>99</v>
      </c>
      <c r="J42" s="3" t="s">
        <v>373</v>
      </c>
      <c r="K42" s="3" t="s">
        <v>400</v>
      </c>
      <c r="L42" s="3" t="s">
        <v>45</v>
      </c>
    </row>
    <row r="43" spans="1:12" ht="27">
      <c r="A43" s="3" t="s">
        <v>339</v>
      </c>
      <c r="B43" s="3" t="s">
        <v>371</v>
      </c>
      <c r="C43" s="3" t="s">
        <v>372</v>
      </c>
      <c r="D43" s="3" t="s">
        <v>341</v>
      </c>
      <c r="E43" s="3" t="s">
        <v>19</v>
      </c>
      <c r="F43" s="3" t="s">
        <v>20</v>
      </c>
      <c r="G43" s="9">
        <v>100904000</v>
      </c>
      <c r="H43" s="9">
        <v>37296000</v>
      </c>
      <c r="I43" s="10">
        <v>37</v>
      </c>
      <c r="J43" s="3" t="s">
        <v>373</v>
      </c>
      <c r="K43" s="3" t="s">
        <v>374</v>
      </c>
      <c r="L43" s="3" t="s">
        <v>45</v>
      </c>
    </row>
    <row r="44" spans="1:12" ht="27">
      <c r="A44" s="3" t="s">
        <v>44</v>
      </c>
      <c r="B44" s="3" t="s">
        <v>371</v>
      </c>
      <c r="C44" s="3" t="s">
        <v>372</v>
      </c>
      <c r="D44" s="3" t="s">
        <v>46</v>
      </c>
      <c r="E44" s="3" t="s">
        <v>21</v>
      </c>
      <c r="F44" s="3" t="s">
        <v>18</v>
      </c>
      <c r="G44" s="9">
        <v>45000000</v>
      </c>
      <c r="H44" s="9">
        <v>0</v>
      </c>
      <c r="I44" s="10">
        <v>0</v>
      </c>
      <c r="J44" s="3" t="s">
        <v>373</v>
      </c>
      <c r="K44" s="3" t="s">
        <v>402</v>
      </c>
      <c r="L44" s="3" t="s">
        <v>375</v>
      </c>
    </row>
    <row r="45" spans="1:12" ht="40.5">
      <c r="A45" s="3" t="s">
        <v>49</v>
      </c>
      <c r="B45" s="3" t="s">
        <v>371</v>
      </c>
      <c r="C45" s="3" t="s">
        <v>372</v>
      </c>
      <c r="D45" s="3" t="s">
        <v>50</v>
      </c>
      <c r="E45" s="3" t="s">
        <v>21</v>
      </c>
      <c r="F45" s="3" t="s">
        <v>18</v>
      </c>
      <c r="G45" s="9">
        <v>66000000</v>
      </c>
      <c r="H45" s="9">
        <v>0</v>
      </c>
      <c r="I45" s="10">
        <v>0</v>
      </c>
      <c r="J45" s="3" t="s">
        <v>373</v>
      </c>
      <c r="K45" s="3" t="s">
        <v>403</v>
      </c>
      <c r="L45" s="3" t="s">
        <v>404</v>
      </c>
    </row>
    <row r="46" spans="1:12" ht="27">
      <c r="A46" s="3" t="s">
        <v>51</v>
      </c>
      <c r="B46" s="3" t="s">
        <v>371</v>
      </c>
      <c r="C46" s="3" t="s">
        <v>372</v>
      </c>
      <c r="D46" s="3" t="s">
        <v>52</v>
      </c>
      <c r="E46" s="3" t="s">
        <v>21</v>
      </c>
      <c r="F46" s="3" t="s">
        <v>18</v>
      </c>
      <c r="G46" s="9">
        <v>147600000</v>
      </c>
      <c r="H46" s="9">
        <v>0</v>
      </c>
      <c r="I46" s="10">
        <v>0</v>
      </c>
      <c r="J46" s="3" t="s">
        <v>373</v>
      </c>
      <c r="K46" s="3" t="s">
        <v>402</v>
      </c>
      <c r="L46" s="3" t="s">
        <v>375</v>
      </c>
    </row>
    <row r="47" spans="1:12" ht="54">
      <c r="A47" s="3" t="s">
        <v>53</v>
      </c>
      <c r="B47" s="3" t="s">
        <v>371</v>
      </c>
      <c r="C47" s="3" t="s">
        <v>372</v>
      </c>
      <c r="D47" s="3" t="s">
        <v>54</v>
      </c>
      <c r="E47" s="3" t="s">
        <v>23</v>
      </c>
      <c r="F47" s="3" t="s">
        <v>18</v>
      </c>
      <c r="G47" s="9">
        <v>480000000</v>
      </c>
      <c r="H47" s="9">
        <v>0</v>
      </c>
      <c r="I47" s="10">
        <v>0</v>
      </c>
      <c r="J47" s="3" t="s">
        <v>405</v>
      </c>
      <c r="K47" s="3" t="s">
        <v>406</v>
      </c>
      <c r="L47" s="3" t="s">
        <v>407</v>
      </c>
    </row>
    <row r="48" spans="1:12" ht="27">
      <c r="A48" s="3" t="s">
        <v>55</v>
      </c>
      <c r="B48" s="3" t="s">
        <v>371</v>
      </c>
      <c r="C48" s="3" t="s">
        <v>372</v>
      </c>
      <c r="D48" s="3" t="s">
        <v>56</v>
      </c>
      <c r="E48" s="3" t="s">
        <v>21</v>
      </c>
      <c r="F48" s="3" t="s">
        <v>22</v>
      </c>
      <c r="G48" s="9">
        <v>90000000</v>
      </c>
      <c r="H48" s="9">
        <v>68971100</v>
      </c>
      <c r="I48" s="10">
        <v>77</v>
      </c>
      <c r="J48" s="3" t="s">
        <v>373</v>
      </c>
      <c r="K48" s="3" t="s">
        <v>402</v>
      </c>
      <c r="L48" s="3" t="s">
        <v>375</v>
      </c>
    </row>
    <row r="49" spans="1:12" ht="27">
      <c r="A49" s="3" t="s">
        <v>59</v>
      </c>
      <c r="B49" s="3" t="s">
        <v>371</v>
      </c>
      <c r="C49" s="3" t="s">
        <v>372</v>
      </c>
      <c r="D49" s="3" t="s">
        <v>60</v>
      </c>
      <c r="E49" s="3" t="s">
        <v>21</v>
      </c>
      <c r="F49" s="3" t="s">
        <v>18</v>
      </c>
      <c r="G49" s="9">
        <v>3200000</v>
      </c>
      <c r="H49" s="9">
        <v>0</v>
      </c>
      <c r="I49" s="10">
        <v>0</v>
      </c>
      <c r="J49" s="3" t="s">
        <v>373</v>
      </c>
      <c r="K49" s="3" t="s">
        <v>376</v>
      </c>
      <c r="L49" s="3" t="s">
        <v>377</v>
      </c>
    </row>
    <row r="50" spans="1:12" ht="27">
      <c r="A50" s="3" t="s">
        <v>61</v>
      </c>
      <c r="B50" s="3" t="s">
        <v>371</v>
      </c>
      <c r="C50" s="3" t="s">
        <v>372</v>
      </c>
      <c r="D50" s="3" t="s">
        <v>62</v>
      </c>
      <c r="E50" s="3" t="s">
        <v>21</v>
      </c>
      <c r="F50" s="3" t="s">
        <v>18</v>
      </c>
      <c r="G50" s="9">
        <v>52200000</v>
      </c>
      <c r="H50" s="9">
        <v>0</v>
      </c>
      <c r="I50" s="10">
        <v>0</v>
      </c>
      <c r="J50" s="3" t="s">
        <v>373</v>
      </c>
      <c r="K50" s="3" t="s">
        <v>378</v>
      </c>
      <c r="L50" s="3" t="s">
        <v>377</v>
      </c>
    </row>
    <row r="51" spans="1:12" ht="27">
      <c r="A51" s="3" t="s">
        <v>67</v>
      </c>
      <c r="B51" s="3" t="s">
        <v>371</v>
      </c>
      <c r="C51" s="3" t="s">
        <v>372</v>
      </c>
      <c r="D51" s="3" t="s">
        <v>68</v>
      </c>
      <c r="E51" s="3" t="s">
        <v>21</v>
      </c>
      <c r="F51" s="3" t="s">
        <v>18</v>
      </c>
      <c r="G51" s="9">
        <v>750000</v>
      </c>
      <c r="H51" s="9">
        <v>0</v>
      </c>
      <c r="I51" s="10">
        <v>0</v>
      </c>
      <c r="J51" s="3" t="s">
        <v>373</v>
      </c>
      <c r="K51" s="3" t="s">
        <v>378</v>
      </c>
      <c r="L51" s="3" t="s">
        <v>377</v>
      </c>
    </row>
    <row r="52" spans="1:12" ht="27">
      <c r="A52" s="3" t="s">
        <v>69</v>
      </c>
      <c r="B52" s="3" t="s">
        <v>371</v>
      </c>
      <c r="C52" s="3" t="s">
        <v>372</v>
      </c>
      <c r="D52" s="3" t="s">
        <v>71</v>
      </c>
      <c r="E52" s="3" t="s">
        <v>21</v>
      </c>
      <c r="F52" s="3" t="s">
        <v>18</v>
      </c>
      <c r="G52" s="9">
        <v>75000000</v>
      </c>
      <c r="H52" s="9">
        <v>0</v>
      </c>
      <c r="I52" s="10">
        <v>0</v>
      </c>
      <c r="J52" s="3" t="s">
        <v>373</v>
      </c>
      <c r="K52" s="3" t="s">
        <v>378</v>
      </c>
      <c r="L52" s="3" t="s">
        <v>377</v>
      </c>
    </row>
    <row r="53" spans="1:12" ht="27">
      <c r="A53" s="3" t="s">
        <v>72</v>
      </c>
      <c r="B53" s="3" t="s">
        <v>371</v>
      </c>
      <c r="C53" s="3" t="s">
        <v>372</v>
      </c>
      <c r="D53" s="3" t="s">
        <v>73</v>
      </c>
      <c r="E53" s="3" t="s">
        <v>21</v>
      </c>
      <c r="F53" s="3" t="s">
        <v>18</v>
      </c>
      <c r="G53" s="9">
        <v>8250000</v>
      </c>
      <c r="H53" s="9">
        <v>0</v>
      </c>
      <c r="I53" s="10">
        <v>0</v>
      </c>
      <c r="J53" s="3" t="s">
        <v>373</v>
      </c>
      <c r="K53" s="3" t="s">
        <v>378</v>
      </c>
      <c r="L53" s="3" t="s">
        <v>377</v>
      </c>
    </row>
    <row r="54" spans="1:12" ht="40.5">
      <c r="A54" s="3" t="s">
        <v>74</v>
      </c>
      <c r="B54" s="3" t="s">
        <v>371</v>
      </c>
      <c r="C54" s="3" t="s">
        <v>372</v>
      </c>
      <c r="D54" s="3" t="s">
        <v>76</v>
      </c>
      <c r="E54" s="3" t="s">
        <v>21</v>
      </c>
      <c r="F54" s="3" t="s">
        <v>22</v>
      </c>
      <c r="G54" s="9">
        <v>115500000</v>
      </c>
      <c r="H54" s="9">
        <v>20982889</v>
      </c>
      <c r="I54" s="10">
        <v>18</v>
      </c>
      <c r="J54" s="3" t="s">
        <v>373</v>
      </c>
      <c r="K54" s="3" t="s">
        <v>467</v>
      </c>
      <c r="L54" s="3" t="s">
        <v>424</v>
      </c>
    </row>
    <row r="55" spans="1:12" ht="27">
      <c r="A55" s="3" t="s">
        <v>77</v>
      </c>
      <c r="B55" s="3" t="s">
        <v>371</v>
      </c>
      <c r="C55" s="3" t="s">
        <v>372</v>
      </c>
      <c r="D55" s="3" t="s">
        <v>78</v>
      </c>
      <c r="E55" s="3" t="s">
        <v>21</v>
      </c>
      <c r="F55" s="3" t="s">
        <v>18</v>
      </c>
      <c r="G55" s="9">
        <v>3750000</v>
      </c>
      <c r="H55" s="9">
        <v>0</v>
      </c>
      <c r="I55" s="10">
        <v>0</v>
      </c>
      <c r="J55" s="3" t="s">
        <v>373</v>
      </c>
      <c r="K55" s="3" t="s">
        <v>378</v>
      </c>
      <c r="L55" s="3" t="s">
        <v>377</v>
      </c>
    </row>
    <row r="56" spans="1:12" ht="27">
      <c r="A56" s="3" t="s">
        <v>84</v>
      </c>
      <c r="B56" s="3" t="s">
        <v>371</v>
      </c>
      <c r="C56" s="3" t="s">
        <v>372</v>
      </c>
      <c r="D56" s="3" t="s">
        <v>85</v>
      </c>
      <c r="E56" s="3" t="s">
        <v>21</v>
      </c>
      <c r="F56" s="3" t="s">
        <v>18</v>
      </c>
      <c r="G56" s="9">
        <v>33600000</v>
      </c>
      <c r="H56" s="9">
        <v>0</v>
      </c>
      <c r="I56" s="10">
        <v>0</v>
      </c>
      <c r="J56" s="3" t="s">
        <v>373</v>
      </c>
      <c r="K56" s="3" t="s">
        <v>378</v>
      </c>
      <c r="L56" s="3" t="s">
        <v>377</v>
      </c>
    </row>
    <row r="57" spans="1:12" ht="27">
      <c r="A57" s="3" t="s">
        <v>86</v>
      </c>
      <c r="B57" s="3" t="s">
        <v>371</v>
      </c>
      <c r="C57" s="3" t="s">
        <v>372</v>
      </c>
      <c r="D57" s="3" t="s">
        <v>87</v>
      </c>
      <c r="E57" s="3" t="s">
        <v>21</v>
      </c>
      <c r="F57" s="3" t="s">
        <v>18</v>
      </c>
      <c r="G57" s="9">
        <v>44000000</v>
      </c>
      <c r="H57" s="9">
        <v>0</v>
      </c>
      <c r="I57" s="10">
        <v>0</v>
      </c>
      <c r="J57" s="3" t="s">
        <v>373</v>
      </c>
      <c r="K57" s="3" t="s">
        <v>378</v>
      </c>
      <c r="L57" s="3" t="s">
        <v>377</v>
      </c>
    </row>
    <row r="58" spans="1:12" ht="27">
      <c r="A58" s="3" t="s">
        <v>95</v>
      </c>
      <c r="B58" s="3" t="s">
        <v>371</v>
      </c>
      <c r="C58" s="3" t="s">
        <v>372</v>
      </c>
      <c r="D58" s="3" t="s">
        <v>96</v>
      </c>
      <c r="E58" s="3" t="s">
        <v>21</v>
      </c>
      <c r="F58" s="3" t="s">
        <v>18</v>
      </c>
      <c r="G58" s="9">
        <v>184500000</v>
      </c>
      <c r="H58" s="9">
        <v>0</v>
      </c>
      <c r="I58" s="10">
        <v>0</v>
      </c>
      <c r="J58" s="3" t="s">
        <v>373</v>
      </c>
      <c r="K58" s="3" t="s">
        <v>378</v>
      </c>
      <c r="L58" s="3" t="s">
        <v>377</v>
      </c>
    </row>
    <row r="59" spans="1:12" ht="27">
      <c r="A59" s="3" t="s">
        <v>97</v>
      </c>
      <c r="B59" s="3" t="s">
        <v>371</v>
      </c>
      <c r="C59" s="3" t="s">
        <v>372</v>
      </c>
      <c r="D59" s="3" t="s">
        <v>98</v>
      </c>
      <c r="E59" s="3" t="s">
        <v>21</v>
      </c>
      <c r="F59" s="3" t="s">
        <v>18</v>
      </c>
      <c r="G59" s="9">
        <v>5250000</v>
      </c>
      <c r="H59" s="9">
        <v>0</v>
      </c>
      <c r="I59" s="10">
        <v>0</v>
      </c>
      <c r="J59" s="3" t="s">
        <v>373</v>
      </c>
      <c r="K59" s="3" t="s">
        <v>378</v>
      </c>
      <c r="L59" s="3" t="s">
        <v>377</v>
      </c>
    </row>
    <row r="60" spans="1:12" ht="27">
      <c r="A60" s="3" t="s">
        <v>99</v>
      </c>
      <c r="B60" s="3" t="s">
        <v>371</v>
      </c>
      <c r="C60" s="3" t="s">
        <v>372</v>
      </c>
      <c r="D60" s="3" t="s">
        <v>100</v>
      </c>
      <c r="E60" s="3" t="s">
        <v>21</v>
      </c>
      <c r="F60" s="3" t="s">
        <v>18</v>
      </c>
      <c r="G60" s="9">
        <v>4800000</v>
      </c>
      <c r="H60" s="9">
        <v>0</v>
      </c>
      <c r="I60" s="10">
        <v>0</v>
      </c>
      <c r="J60" s="3" t="s">
        <v>373</v>
      </c>
      <c r="K60" s="3" t="s">
        <v>378</v>
      </c>
      <c r="L60" s="3" t="s">
        <v>377</v>
      </c>
    </row>
    <row r="61" spans="1:12" ht="27">
      <c r="A61" s="3" t="s">
        <v>101</v>
      </c>
      <c r="B61" s="3" t="s">
        <v>371</v>
      </c>
      <c r="C61" s="3" t="s">
        <v>372</v>
      </c>
      <c r="D61" s="3" t="s">
        <v>102</v>
      </c>
      <c r="E61" s="3" t="s">
        <v>21</v>
      </c>
      <c r="F61" s="3" t="s">
        <v>18</v>
      </c>
      <c r="G61" s="9">
        <v>29600000</v>
      </c>
      <c r="H61" s="9">
        <v>0</v>
      </c>
      <c r="I61" s="10">
        <v>0</v>
      </c>
      <c r="J61" s="3" t="s">
        <v>373</v>
      </c>
      <c r="K61" s="3" t="s">
        <v>378</v>
      </c>
      <c r="L61" s="3" t="s">
        <v>377</v>
      </c>
    </row>
    <row r="62" spans="1:12" ht="27">
      <c r="A62" s="3" t="s">
        <v>103</v>
      </c>
      <c r="B62" s="3" t="s">
        <v>371</v>
      </c>
      <c r="C62" s="3" t="s">
        <v>372</v>
      </c>
      <c r="D62" s="3" t="s">
        <v>104</v>
      </c>
      <c r="E62" s="3" t="s">
        <v>21</v>
      </c>
      <c r="F62" s="3" t="s">
        <v>18</v>
      </c>
      <c r="G62" s="9">
        <v>120000000</v>
      </c>
      <c r="H62" s="9">
        <v>0</v>
      </c>
      <c r="I62" s="10">
        <v>0</v>
      </c>
      <c r="J62" s="3" t="s">
        <v>373</v>
      </c>
      <c r="K62" s="3" t="s">
        <v>378</v>
      </c>
      <c r="L62" s="3" t="s">
        <v>377</v>
      </c>
    </row>
    <row r="63" spans="1:12" ht="27">
      <c r="A63" s="3" t="s">
        <v>105</v>
      </c>
      <c r="B63" s="3" t="s">
        <v>371</v>
      </c>
      <c r="C63" s="3" t="s">
        <v>372</v>
      </c>
      <c r="D63" s="3" t="s">
        <v>106</v>
      </c>
      <c r="E63" s="3" t="s">
        <v>21</v>
      </c>
      <c r="F63" s="3" t="s">
        <v>18</v>
      </c>
      <c r="G63" s="9">
        <v>49600000</v>
      </c>
      <c r="H63" s="9">
        <v>0</v>
      </c>
      <c r="I63" s="10">
        <v>0</v>
      </c>
      <c r="J63" s="3" t="s">
        <v>373</v>
      </c>
      <c r="K63" s="3" t="s">
        <v>378</v>
      </c>
      <c r="L63" s="3" t="s">
        <v>377</v>
      </c>
    </row>
    <row r="64" spans="1:12" ht="27">
      <c r="A64" s="3" t="s">
        <v>107</v>
      </c>
      <c r="B64" s="3" t="s">
        <v>371</v>
      </c>
      <c r="C64" s="3" t="s">
        <v>372</v>
      </c>
      <c r="D64" s="3" t="s">
        <v>108</v>
      </c>
      <c r="E64" s="3" t="s">
        <v>21</v>
      </c>
      <c r="F64" s="3" t="s">
        <v>18</v>
      </c>
      <c r="G64" s="9">
        <v>140000000</v>
      </c>
      <c r="H64" s="9">
        <v>0</v>
      </c>
      <c r="I64" s="10">
        <v>0</v>
      </c>
      <c r="J64" s="3" t="s">
        <v>373</v>
      </c>
      <c r="K64" s="3" t="s">
        <v>378</v>
      </c>
      <c r="L64" s="3" t="s">
        <v>377</v>
      </c>
    </row>
    <row r="65" spans="1:12" ht="27">
      <c r="A65" s="3" t="s">
        <v>109</v>
      </c>
      <c r="B65" s="3" t="s">
        <v>371</v>
      </c>
      <c r="C65" s="3" t="s">
        <v>372</v>
      </c>
      <c r="D65" s="3" t="s">
        <v>110</v>
      </c>
      <c r="E65" s="3" t="s">
        <v>21</v>
      </c>
      <c r="F65" s="3" t="s">
        <v>18</v>
      </c>
      <c r="G65" s="9">
        <v>7750000</v>
      </c>
      <c r="H65" s="9">
        <v>0</v>
      </c>
      <c r="I65" s="10">
        <v>0</v>
      </c>
      <c r="J65" s="3" t="s">
        <v>373</v>
      </c>
      <c r="K65" s="3" t="s">
        <v>378</v>
      </c>
      <c r="L65" s="3" t="s">
        <v>377</v>
      </c>
    </row>
    <row r="66" spans="1:12" ht="27">
      <c r="A66" s="3" t="s">
        <v>111</v>
      </c>
      <c r="B66" s="3" t="s">
        <v>371</v>
      </c>
      <c r="C66" s="3" t="s">
        <v>372</v>
      </c>
      <c r="D66" s="3" t="s">
        <v>112</v>
      </c>
      <c r="E66" s="3" t="s">
        <v>21</v>
      </c>
      <c r="F66" s="3" t="s">
        <v>18</v>
      </c>
      <c r="G66" s="9">
        <v>30000000</v>
      </c>
      <c r="H66" s="9">
        <v>0</v>
      </c>
      <c r="I66" s="10">
        <v>0</v>
      </c>
      <c r="J66" s="3" t="s">
        <v>373</v>
      </c>
      <c r="K66" s="3" t="s">
        <v>378</v>
      </c>
      <c r="L66" s="3" t="s">
        <v>377</v>
      </c>
    </row>
    <row r="67" spans="1:12" ht="27">
      <c r="A67" s="3" t="s">
        <v>113</v>
      </c>
      <c r="B67" s="3" t="s">
        <v>371</v>
      </c>
      <c r="C67" s="3" t="s">
        <v>372</v>
      </c>
      <c r="D67" s="3" t="s">
        <v>114</v>
      </c>
      <c r="E67" s="3" t="s">
        <v>21</v>
      </c>
      <c r="F67" s="3" t="s">
        <v>18</v>
      </c>
      <c r="G67" s="9">
        <v>29500000</v>
      </c>
      <c r="H67" s="9">
        <v>0</v>
      </c>
      <c r="I67" s="10">
        <v>0</v>
      </c>
      <c r="J67" s="3" t="s">
        <v>373</v>
      </c>
      <c r="K67" s="3" t="s">
        <v>378</v>
      </c>
      <c r="L67" s="3" t="s">
        <v>377</v>
      </c>
    </row>
    <row r="68" spans="1:12" ht="27">
      <c r="A68" s="3" t="s">
        <v>115</v>
      </c>
      <c r="B68" s="3" t="s">
        <v>371</v>
      </c>
      <c r="C68" s="3" t="s">
        <v>372</v>
      </c>
      <c r="D68" s="3" t="s">
        <v>116</v>
      </c>
      <c r="E68" s="3" t="s">
        <v>21</v>
      </c>
      <c r="F68" s="3" t="s">
        <v>18</v>
      </c>
      <c r="G68" s="9">
        <v>4960000</v>
      </c>
      <c r="H68" s="9">
        <v>0</v>
      </c>
      <c r="I68" s="10">
        <v>0</v>
      </c>
      <c r="J68" s="3" t="s">
        <v>373</v>
      </c>
      <c r="K68" s="3" t="s">
        <v>378</v>
      </c>
      <c r="L68" s="3" t="s">
        <v>377</v>
      </c>
    </row>
    <row r="69" spans="1:12" ht="40.5">
      <c r="A69" s="3" t="s">
        <v>117</v>
      </c>
      <c r="B69" s="3" t="s">
        <v>371</v>
      </c>
      <c r="C69" s="3" t="s">
        <v>372</v>
      </c>
      <c r="D69" s="3" t="s">
        <v>118</v>
      </c>
      <c r="E69" s="3" t="s">
        <v>21</v>
      </c>
      <c r="F69" s="3" t="s">
        <v>18</v>
      </c>
      <c r="G69" s="9">
        <v>40000000</v>
      </c>
      <c r="H69" s="9">
        <v>0</v>
      </c>
      <c r="I69" s="10">
        <v>0</v>
      </c>
      <c r="J69" s="3" t="s">
        <v>373</v>
      </c>
      <c r="K69" s="3" t="s">
        <v>413</v>
      </c>
      <c r="L69" s="3" t="s">
        <v>404</v>
      </c>
    </row>
    <row r="70" spans="1:12" ht="27">
      <c r="A70" s="3" t="s">
        <v>119</v>
      </c>
      <c r="B70" s="3" t="s">
        <v>371</v>
      </c>
      <c r="C70" s="3" t="s">
        <v>372</v>
      </c>
      <c r="D70" s="3" t="s">
        <v>110</v>
      </c>
      <c r="E70" s="3" t="s">
        <v>21</v>
      </c>
      <c r="F70" s="3" t="s">
        <v>18</v>
      </c>
      <c r="G70" s="9">
        <v>1000000</v>
      </c>
      <c r="H70" s="9">
        <v>0</v>
      </c>
      <c r="I70" s="10">
        <v>0</v>
      </c>
      <c r="J70" s="3" t="s">
        <v>373</v>
      </c>
      <c r="K70" s="3" t="s">
        <v>378</v>
      </c>
      <c r="L70" s="3" t="s">
        <v>377</v>
      </c>
    </row>
    <row r="71" spans="1:12" ht="27">
      <c r="A71" s="3" t="s">
        <v>120</v>
      </c>
      <c r="B71" s="3" t="s">
        <v>371</v>
      </c>
      <c r="C71" s="3" t="s">
        <v>372</v>
      </c>
      <c r="D71" s="3" t="s">
        <v>121</v>
      </c>
      <c r="E71" s="3" t="s">
        <v>21</v>
      </c>
      <c r="F71" s="3" t="s">
        <v>18</v>
      </c>
      <c r="G71" s="9">
        <v>15796000</v>
      </c>
      <c r="H71" s="9">
        <v>0</v>
      </c>
      <c r="I71" s="10">
        <v>0</v>
      </c>
      <c r="J71" s="3" t="s">
        <v>373</v>
      </c>
      <c r="K71" s="3" t="s">
        <v>378</v>
      </c>
      <c r="L71" s="3" t="s">
        <v>377</v>
      </c>
    </row>
    <row r="72" spans="1:12" ht="27">
      <c r="A72" s="3" t="s">
        <v>122</v>
      </c>
      <c r="B72" s="3" t="s">
        <v>371</v>
      </c>
      <c r="C72" s="3" t="s">
        <v>372</v>
      </c>
      <c r="D72" s="3" t="s">
        <v>123</v>
      </c>
      <c r="E72" s="3" t="s">
        <v>21</v>
      </c>
      <c r="F72" s="3" t="s">
        <v>18</v>
      </c>
      <c r="G72" s="9">
        <v>32244000</v>
      </c>
      <c r="H72" s="9">
        <v>0</v>
      </c>
      <c r="I72" s="10">
        <v>0</v>
      </c>
      <c r="J72" s="3" t="s">
        <v>373</v>
      </c>
      <c r="K72" s="3" t="s">
        <v>378</v>
      </c>
      <c r="L72" s="3" t="s">
        <v>377</v>
      </c>
    </row>
    <row r="73" spans="1:12" ht="27">
      <c r="A73" s="3" t="s">
        <v>124</v>
      </c>
      <c r="B73" s="3" t="s">
        <v>371</v>
      </c>
      <c r="C73" s="3" t="s">
        <v>372</v>
      </c>
      <c r="D73" s="3" t="s">
        <v>125</v>
      </c>
      <c r="E73" s="3" t="s">
        <v>21</v>
      </c>
      <c r="F73" s="3" t="s">
        <v>18</v>
      </c>
      <c r="G73" s="9">
        <v>29500000</v>
      </c>
      <c r="H73" s="9">
        <v>0</v>
      </c>
      <c r="I73" s="10">
        <v>0</v>
      </c>
      <c r="J73" s="3" t="s">
        <v>373</v>
      </c>
      <c r="K73" s="3" t="s">
        <v>378</v>
      </c>
      <c r="L73" s="3" t="s">
        <v>377</v>
      </c>
    </row>
    <row r="74" spans="1:12" ht="27">
      <c r="A74" s="3" t="s">
        <v>126</v>
      </c>
      <c r="B74" s="3" t="s">
        <v>371</v>
      </c>
      <c r="C74" s="3" t="s">
        <v>372</v>
      </c>
      <c r="D74" s="3" t="s">
        <v>127</v>
      </c>
      <c r="E74" s="3" t="s">
        <v>21</v>
      </c>
      <c r="F74" s="3" t="s">
        <v>18</v>
      </c>
      <c r="G74" s="9">
        <v>70000000</v>
      </c>
      <c r="H74" s="9">
        <v>0</v>
      </c>
      <c r="I74" s="10">
        <v>0</v>
      </c>
      <c r="J74" s="3" t="s">
        <v>373</v>
      </c>
      <c r="K74" s="3" t="s">
        <v>378</v>
      </c>
      <c r="L74" s="3" t="s">
        <v>377</v>
      </c>
    </row>
    <row r="75" spans="1:12" ht="27">
      <c r="A75" s="3" t="s">
        <v>128</v>
      </c>
      <c r="B75" s="3" t="s">
        <v>371</v>
      </c>
      <c r="C75" s="3" t="s">
        <v>372</v>
      </c>
      <c r="D75" s="3" t="s">
        <v>106</v>
      </c>
      <c r="E75" s="3" t="s">
        <v>21</v>
      </c>
      <c r="F75" s="3" t="s">
        <v>18</v>
      </c>
      <c r="G75" s="9">
        <v>6400000</v>
      </c>
      <c r="H75" s="9">
        <v>0</v>
      </c>
      <c r="I75" s="10">
        <v>0</v>
      </c>
      <c r="J75" s="3" t="s">
        <v>373</v>
      </c>
      <c r="K75" s="3" t="s">
        <v>378</v>
      </c>
      <c r="L75" s="3" t="s">
        <v>377</v>
      </c>
    </row>
    <row r="76" spans="1:12" ht="27">
      <c r="A76" s="3" t="s">
        <v>129</v>
      </c>
      <c r="B76" s="3" t="s">
        <v>371</v>
      </c>
      <c r="C76" s="3" t="s">
        <v>372</v>
      </c>
      <c r="D76" s="3" t="s">
        <v>130</v>
      </c>
      <c r="E76" s="3" t="s">
        <v>21</v>
      </c>
      <c r="F76" s="3" t="s">
        <v>18</v>
      </c>
      <c r="G76" s="9">
        <v>80000000</v>
      </c>
      <c r="H76" s="9">
        <v>0</v>
      </c>
      <c r="I76" s="10">
        <v>0</v>
      </c>
      <c r="J76" s="3" t="s">
        <v>373</v>
      </c>
      <c r="K76" s="3" t="s">
        <v>376</v>
      </c>
      <c r="L76" s="3" t="s">
        <v>377</v>
      </c>
    </row>
    <row r="77" spans="1:12" ht="27">
      <c r="A77" s="3" t="s">
        <v>131</v>
      </c>
      <c r="B77" s="3" t="s">
        <v>371</v>
      </c>
      <c r="C77" s="3" t="s">
        <v>372</v>
      </c>
      <c r="D77" s="3" t="s">
        <v>110</v>
      </c>
      <c r="E77" s="3" t="s">
        <v>21</v>
      </c>
      <c r="F77" s="3" t="s">
        <v>18</v>
      </c>
      <c r="G77" s="9">
        <v>1500000</v>
      </c>
      <c r="H77" s="9">
        <v>0</v>
      </c>
      <c r="I77" s="10">
        <v>0</v>
      </c>
      <c r="J77" s="3" t="s">
        <v>373</v>
      </c>
      <c r="K77" s="3" t="s">
        <v>378</v>
      </c>
      <c r="L77" s="3" t="s">
        <v>377</v>
      </c>
    </row>
    <row r="78" spans="1:12" ht="27">
      <c r="A78" s="3" t="s">
        <v>134</v>
      </c>
      <c r="B78" s="3" t="s">
        <v>371</v>
      </c>
      <c r="C78" s="3" t="s">
        <v>372</v>
      </c>
      <c r="D78" s="3" t="s">
        <v>135</v>
      </c>
      <c r="E78" s="3" t="s">
        <v>21</v>
      </c>
      <c r="F78" s="3" t="s">
        <v>18</v>
      </c>
      <c r="G78" s="9">
        <v>52500000</v>
      </c>
      <c r="H78" s="9">
        <v>0</v>
      </c>
      <c r="I78" s="10">
        <v>0</v>
      </c>
      <c r="J78" s="3" t="s">
        <v>373</v>
      </c>
      <c r="K78" s="3" t="s">
        <v>378</v>
      </c>
      <c r="L78" s="3" t="s">
        <v>377</v>
      </c>
    </row>
    <row r="79" spans="1:12" ht="27">
      <c r="A79" s="3" t="s">
        <v>136</v>
      </c>
      <c r="B79" s="3" t="s">
        <v>371</v>
      </c>
      <c r="C79" s="3" t="s">
        <v>372</v>
      </c>
      <c r="D79" s="3" t="s">
        <v>106</v>
      </c>
      <c r="E79" s="3" t="s">
        <v>21</v>
      </c>
      <c r="F79" s="3" t="s">
        <v>18</v>
      </c>
      <c r="G79" s="9">
        <v>3200000</v>
      </c>
      <c r="H79" s="9">
        <v>0</v>
      </c>
      <c r="I79" s="10">
        <v>0</v>
      </c>
      <c r="J79" s="3" t="s">
        <v>373</v>
      </c>
      <c r="K79" s="3" t="s">
        <v>378</v>
      </c>
      <c r="L79" s="3" t="s">
        <v>377</v>
      </c>
    </row>
    <row r="80" spans="1:12" ht="27">
      <c r="A80" s="3" t="s">
        <v>139</v>
      </c>
      <c r="B80" s="3" t="s">
        <v>371</v>
      </c>
      <c r="C80" s="3" t="s">
        <v>372</v>
      </c>
      <c r="D80" s="3" t="s">
        <v>140</v>
      </c>
      <c r="E80" s="3" t="s">
        <v>21</v>
      </c>
      <c r="F80" s="3" t="s">
        <v>18</v>
      </c>
      <c r="G80" s="9">
        <v>24500000</v>
      </c>
      <c r="H80" s="9">
        <v>0</v>
      </c>
      <c r="I80" s="10">
        <v>0</v>
      </c>
      <c r="J80" s="3" t="s">
        <v>373</v>
      </c>
      <c r="K80" s="3" t="s">
        <v>378</v>
      </c>
      <c r="L80" s="3" t="s">
        <v>377</v>
      </c>
    </row>
    <row r="81" spans="1:12" ht="27">
      <c r="A81" s="3" t="s">
        <v>141</v>
      </c>
      <c r="B81" s="3" t="s">
        <v>371</v>
      </c>
      <c r="C81" s="3" t="s">
        <v>372</v>
      </c>
      <c r="D81" s="3" t="s">
        <v>100</v>
      </c>
      <c r="E81" s="3" t="s">
        <v>21</v>
      </c>
      <c r="F81" s="3" t="s">
        <v>18</v>
      </c>
      <c r="G81" s="9">
        <v>960000</v>
      </c>
      <c r="H81" s="9">
        <v>0</v>
      </c>
      <c r="I81" s="10">
        <v>0</v>
      </c>
      <c r="J81" s="3" t="s">
        <v>373</v>
      </c>
      <c r="K81" s="3" t="s">
        <v>378</v>
      </c>
      <c r="L81" s="3" t="s">
        <v>377</v>
      </c>
    </row>
    <row r="82" spans="1:12" ht="27">
      <c r="A82" s="3" t="s">
        <v>142</v>
      </c>
      <c r="B82" s="3" t="s">
        <v>371</v>
      </c>
      <c r="C82" s="3" t="s">
        <v>372</v>
      </c>
      <c r="D82" s="3" t="s">
        <v>106</v>
      </c>
      <c r="E82" s="3" t="s">
        <v>21</v>
      </c>
      <c r="F82" s="3" t="s">
        <v>18</v>
      </c>
      <c r="G82" s="9">
        <v>9600000</v>
      </c>
      <c r="H82" s="9">
        <v>0</v>
      </c>
      <c r="I82" s="10">
        <v>0</v>
      </c>
      <c r="J82" s="3" t="s">
        <v>373</v>
      </c>
      <c r="K82" s="3" t="s">
        <v>378</v>
      </c>
      <c r="L82" s="3" t="s">
        <v>377</v>
      </c>
    </row>
    <row r="83" spans="1:12" ht="27">
      <c r="A83" s="3" t="s">
        <v>143</v>
      </c>
      <c r="B83" s="3" t="s">
        <v>371</v>
      </c>
      <c r="C83" s="3" t="s">
        <v>372</v>
      </c>
      <c r="D83" s="3" t="s">
        <v>114</v>
      </c>
      <c r="E83" s="3" t="s">
        <v>21</v>
      </c>
      <c r="F83" s="3" t="s">
        <v>18</v>
      </c>
      <c r="G83" s="9">
        <v>26242000</v>
      </c>
      <c r="H83" s="9">
        <v>0</v>
      </c>
      <c r="I83" s="10">
        <v>0</v>
      </c>
      <c r="J83" s="3" t="s">
        <v>373</v>
      </c>
      <c r="K83" s="3" t="s">
        <v>378</v>
      </c>
      <c r="L83" s="3" t="s">
        <v>377</v>
      </c>
    </row>
    <row r="84" spans="1:12" ht="27">
      <c r="A84" s="3" t="s">
        <v>144</v>
      </c>
      <c r="B84" s="3" t="s">
        <v>371</v>
      </c>
      <c r="C84" s="3" t="s">
        <v>372</v>
      </c>
      <c r="D84" s="3" t="s">
        <v>106</v>
      </c>
      <c r="E84" s="3" t="s">
        <v>21</v>
      </c>
      <c r="F84" s="3" t="s">
        <v>18</v>
      </c>
      <c r="G84" s="9">
        <v>17600000</v>
      </c>
      <c r="H84" s="9">
        <v>0</v>
      </c>
      <c r="I84" s="10">
        <v>0</v>
      </c>
      <c r="J84" s="3" t="s">
        <v>373</v>
      </c>
      <c r="K84" s="3" t="s">
        <v>378</v>
      </c>
      <c r="L84" s="3" t="s">
        <v>377</v>
      </c>
    </row>
    <row r="85" spans="1:12" ht="27">
      <c r="A85" s="3" t="s">
        <v>145</v>
      </c>
      <c r="B85" s="3" t="s">
        <v>371</v>
      </c>
      <c r="C85" s="3" t="s">
        <v>372</v>
      </c>
      <c r="D85" s="3" t="s">
        <v>146</v>
      </c>
      <c r="E85" s="3" t="s">
        <v>21</v>
      </c>
      <c r="F85" s="3" t="s">
        <v>18</v>
      </c>
      <c r="G85" s="9">
        <v>33000000</v>
      </c>
      <c r="H85" s="9">
        <v>0</v>
      </c>
      <c r="I85" s="10">
        <v>0</v>
      </c>
      <c r="J85" s="3" t="s">
        <v>373</v>
      </c>
      <c r="K85" s="3" t="s">
        <v>378</v>
      </c>
      <c r="L85" s="3" t="s">
        <v>377</v>
      </c>
    </row>
    <row r="86" spans="1:12" ht="27">
      <c r="A86" s="3" t="s">
        <v>147</v>
      </c>
      <c r="B86" s="3" t="s">
        <v>371</v>
      </c>
      <c r="C86" s="3" t="s">
        <v>372</v>
      </c>
      <c r="D86" s="3" t="s">
        <v>148</v>
      </c>
      <c r="E86" s="3" t="s">
        <v>21</v>
      </c>
      <c r="F86" s="3" t="s">
        <v>18</v>
      </c>
      <c r="G86" s="9">
        <v>15500000</v>
      </c>
      <c r="H86" s="9">
        <v>0</v>
      </c>
      <c r="I86" s="10">
        <v>0</v>
      </c>
      <c r="J86" s="3" t="s">
        <v>373</v>
      </c>
      <c r="K86" s="3" t="s">
        <v>378</v>
      </c>
      <c r="L86" s="3" t="s">
        <v>377</v>
      </c>
    </row>
    <row r="87" spans="1:12" ht="27">
      <c r="A87" s="3" t="s">
        <v>149</v>
      </c>
      <c r="B87" s="3" t="s">
        <v>371</v>
      </c>
      <c r="C87" s="3" t="s">
        <v>372</v>
      </c>
      <c r="D87" s="3" t="s">
        <v>150</v>
      </c>
      <c r="E87" s="3" t="s">
        <v>21</v>
      </c>
      <c r="F87" s="3" t="s">
        <v>18</v>
      </c>
      <c r="G87" s="9">
        <v>27000000</v>
      </c>
      <c r="H87" s="9">
        <v>0</v>
      </c>
      <c r="I87" s="10">
        <v>0</v>
      </c>
      <c r="J87" s="3" t="s">
        <v>373</v>
      </c>
      <c r="K87" s="3" t="s">
        <v>378</v>
      </c>
      <c r="L87" s="3" t="s">
        <v>377</v>
      </c>
    </row>
    <row r="88" spans="1:12" ht="27">
      <c r="A88" s="3" t="s">
        <v>151</v>
      </c>
      <c r="B88" s="3" t="s">
        <v>371</v>
      </c>
      <c r="C88" s="3" t="s">
        <v>372</v>
      </c>
      <c r="D88" s="3" t="s">
        <v>152</v>
      </c>
      <c r="E88" s="3" t="s">
        <v>21</v>
      </c>
      <c r="F88" s="3" t="s">
        <v>18</v>
      </c>
      <c r="G88" s="9">
        <v>15500000</v>
      </c>
      <c r="H88" s="9">
        <v>0</v>
      </c>
      <c r="I88" s="10">
        <v>0</v>
      </c>
      <c r="J88" s="3" t="s">
        <v>373</v>
      </c>
      <c r="K88" s="3" t="s">
        <v>378</v>
      </c>
      <c r="L88" s="3" t="s">
        <v>377</v>
      </c>
    </row>
    <row r="89" spans="1:12" ht="27">
      <c r="A89" s="3" t="s">
        <v>153</v>
      </c>
      <c r="B89" s="3" t="s">
        <v>371</v>
      </c>
      <c r="C89" s="3" t="s">
        <v>372</v>
      </c>
      <c r="D89" s="3" t="s">
        <v>100</v>
      </c>
      <c r="E89" s="3" t="s">
        <v>21</v>
      </c>
      <c r="F89" s="3" t="s">
        <v>18</v>
      </c>
      <c r="G89" s="9">
        <v>1760000</v>
      </c>
      <c r="H89" s="9">
        <v>0</v>
      </c>
      <c r="I89" s="10">
        <v>0</v>
      </c>
      <c r="J89" s="3" t="s">
        <v>373</v>
      </c>
      <c r="K89" s="3" t="s">
        <v>378</v>
      </c>
      <c r="L89" s="3" t="s">
        <v>377</v>
      </c>
    </row>
    <row r="90" spans="1:12" ht="27">
      <c r="A90" s="3" t="s">
        <v>154</v>
      </c>
      <c r="B90" s="3" t="s">
        <v>371</v>
      </c>
      <c r="C90" s="3" t="s">
        <v>372</v>
      </c>
      <c r="D90" s="3" t="s">
        <v>155</v>
      </c>
      <c r="E90" s="3" t="s">
        <v>21</v>
      </c>
      <c r="F90" s="3" t="s">
        <v>18</v>
      </c>
      <c r="G90" s="9">
        <v>17500000</v>
      </c>
      <c r="H90" s="9">
        <v>0</v>
      </c>
      <c r="I90" s="10">
        <v>0</v>
      </c>
      <c r="J90" s="3" t="s">
        <v>373</v>
      </c>
      <c r="K90" s="3" t="s">
        <v>378</v>
      </c>
      <c r="L90" s="3" t="s">
        <v>377</v>
      </c>
    </row>
    <row r="91" spans="1:12" ht="27">
      <c r="A91" s="3" t="s">
        <v>156</v>
      </c>
      <c r="B91" s="3" t="s">
        <v>371</v>
      </c>
      <c r="C91" s="3" t="s">
        <v>372</v>
      </c>
      <c r="D91" s="3" t="s">
        <v>157</v>
      </c>
      <c r="E91" s="3" t="s">
        <v>21</v>
      </c>
      <c r="F91" s="3" t="s">
        <v>18</v>
      </c>
      <c r="G91" s="9">
        <v>17500000</v>
      </c>
      <c r="H91" s="9">
        <v>0</v>
      </c>
      <c r="I91" s="10">
        <v>0</v>
      </c>
      <c r="J91" s="3" t="s">
        <v>373</v>
      </c>
      <c r="K91" s="3" t="s">
        <v>378</v>
      </c>
      <c r="L91" s="3" t="s">
        <v>377</v>
      </c>
    </row>
    <row r="92" spans="1:12" ht="27">
      <c r="A92" s="3" t="s">
        <v>158</v>
      </c>
      <c r="B92" s="3" t="s">
        <v>371</v>
      </c>
      <c r="C92" s="3" t="s">
        <v>372</v>
      </c>
      <c r="D92" s="3" t="s">
        <v>159</v>
      </c>
      <c r="E92" s="3" t="s">
        <v>21</v>
      </c>
      <c r="F92" s="3" t="s">
        <v>18</v>
      </c>
      <c r="G92" s="9">
        <v>25000000</v>
      </c>
      <c r="H92" s="9">
        <v>0</v>
      </c>
      <c r="I92" s="10">
        <v>0</v>
      </c>
      <c r="J92" s="3" t="s">
        <v>373</v>
      </c>
      <c r="K92" s="3" t="s">
        <v>378</v>
      </c>
      <c r="L92" s="3" t="s">
        <v>377</v>
      </c>
    </row>
    <row r="93" spans="1:12" ht="27">
      <c r="A93" s="3" t="s">
        <v>163</v>
      </c>
      <c r="B93" s="3" t="s">
        <v>371</v>
      </c>
      <c r="C93" s="3" t="s">
        <v>372</v>
      </c>
      <c r="D93" s="3" t="s">
        <v>164</v>
      </c>
      <c r="E93" s="3" t="s">
        <v>21</v>
      </c>
      <c r="F93" s="3" t="s">
        <v>18</v>
      </c>
      <c r="G93" s="9">
        <v>90244000</v>
      </c>
      <c r="H93" s="9">
        <v>0</v>
      </c>
      <c r="I93" s="10">
        <v>0</v>
      </c>
      <c r="J93" s="3" t="s">
        <v>373</v>
      </c>
      <c r="K93" s="3" t="s">
        <v>379</v>
      </c>
      <c r="L93" s="3" t="s">
        <v>380</v>
      </c>
    </row>
    <row r="94" spans="1:12" ht="27">
      <c r="A94" s="3" t="s">
        <v>169</v>
      </c>
      <c r="B94" s="3" t="s">
        <v>371</v>
      </c>
      <c r="C94" s="3" t="s">
        <v>372</v>
      </c>
      <c r="D94" s="3" t="s">
        <v>170</v>
      </c>
      <c r="E94" s="3" t="s">
        <v>21</v>
      </c>
      <c r="F94" s="3" t="s">
        <v>18</v>
      </c>
      <c r="G94" s="9">
        <v>44800000</v>
      </c>
      <c r="H94" s="9">
        <v>0</v>
      </c>
      <c r="I94" s="10">
        <v>0</v>
      </c>
      <c r="J94" s="3" t="s">
        <v>373</v>
      </c>
      <c r="K94" s="3" t="s">
        <v>379</v>
      </c>
      <c r="L94" s="3" t="s">
        <v>380</v>
      </c>
    </row>
    <row r="95" spans="1:12" ht="27">
      <c r="A95" s="3" t="s">
        <v>171</v>
      </c>
      <c r="B95" s="3" t="s">
        <v>371</v>
      </c>
      <c r="C95" s="3" t="s">
        <v>372</v>
      </c>
      <c r="D95" s="3" t="s">
        <v>172</v>
      </c>
      <c r="E95" s="3" t="s">
        <v>21</v>
      </c>
      <c r="F95" s="3" t="s">
        <v>18</v>
      </c>
      <c r="G95" s="9">
        <v>4480000</v>
      </c>
      <c r="H95" s="9">
        <v>0</v>
      </c>
      <c r="I95" s="10">
        <v>0</v>
      </c>
      <c r="J95" s="3" t="s">
        <v>373</v>
      </c>
      <c r="K95" s="3" t="s">
        <v>379</v>
      </c>
      <c r="L95" s="3" t="s">
        <v>380</v>
      </c>
    </row>
    <row r="96" spans="1:12" ht="27">
      <c r="A96" s="3" t="s">
        <v>173</v>
      </c>
      <c r="B96" s="3" t="s">
        <v>371</v>
      </c>
      <c r="C96" s="3" t="s">
        <v>372</v>
      </c>
      <c r="D96" s="3" t="s">
        <v>174</v>
      </c>
      <c r="E96" s="3" t="s">
        <v>21</v>
      </c>
      <c r="F96" s="3" t="s">
        <v>18</v>
      </c>
      <c r="G96" s="9">
        <v>4375000</v>
      </c>
      <c r="H96" s="9">
        <v>0</v>
      </c>
      <c r="I96" s="10">
        <v>0</v>
      </c>
      <c r="J96" s="3" t="s">
        <v>373</v>
      </c>
      <c r="K96" s="3" t="s">
        <v>379</v>
      </c>
      <c r="L96" s="3" t="s">
        <v>380</v>
      </c>
    </row>
    <row r="97" spans="1:12" ht="27">
      <c r="A97" s="3" t="s">
        <v>175</v>
      </c>
      <c r="B97" s="3" t="s">
        <v>371</v>
      </c>
      <c r="C97" s="3" t="s">
        <v>372</v>
      </c>
      <c r="D97" s="3" t="s">
        <v>176</v>
      </c>
      <c r="E97" s="3" t="s">
        <v>21</v>
      </c>
      <c r="F97" s="3" t="s">
        <v>18</v>
      </c>
      <c r="G97" s="9">
        <v>33480000</v>
      </c>
      <c r="H97" s="9">
        <v>0</v>
      </c>
      <c r="I97" s="10">
        <v>0</v>
      </c>
      <c r="J97" s="3" t="s">
        <v>373</v>
      </c>
      <c r="K97" s="3" t="s">
        <v>379</v>
      </c>
      <c r="L97" s="3" t="s">
        <v>380</v>
      </c>
    </row>
    <row r="98" spans="1:12" ht="40.5">
      <c r="A98" s="3" t="s">
        <v>177</v>
      </c>
      <c r="B98" s="3" t="s">
        <v>371</v>
      </c>
      <c r="C98" s="3" t="s">
        <v>372</v>
      </c>
      <c r="D98" s="3" t="s">
        <v>178</v>
      </c>
      <c r="E98" s="3" t="s">
        <v>21</v>
      </c>
      <c r="F98" s="3" t="s">
        <v>18</v>
      </c>
      <c r="G98" s="9">
        <v>388700000</v>
      </c>
      <c r="H98" s="9">
        <v>0</v>
      </c>
      <c r="I98" s="10">
        <v>0</v>
      </c>
      <c r="J98" s="3" t="s">
        <v>405</v>
      </c>
      <c r="K98" s="3" t="s">
        <v>415</v>
      </c>
      <c r="L98" s="3" t="s">
        <v>416</v>
      </c>
    </row>
    <row r="99" spans="1:12" ht="27">
      <c r="A99" s="3" t="s">
        <v>179</v>
      </c>
      <c r="B99" s="3" t="s">
        <v>371</v>
      </c>
      <c r="C99" s="3" t="s">
        <v>372</v>
      </c>
      <c r="D99" s="3" t="s">
        <v>180</v>
      </c>
      <c r="E99" s="3" t="s">
        <v>21</v>
      </c>
      <c r="F99" s="3" t="s">
        <v>18</v>
      </c>
      <c r="G99" s="9">
        <v>7420000</v>
      </c>
      <c r="H99" s="9">
        <v>0</v>
      </c>
      <c r="I99" s="10">
        <v>0</v>
      </c>
      <c r="J99" s="3" t="s">
        <v>373</v>
      </c>
      <c r="K99" s="3" t="s">
        <v>379</v>
      </c>
      <c r="L99" s="3" t="s">
        <v>380</v>
      </c>
    </row>
    <row r="100" spans="1:12" ht="27">
      <c r="A100" s="3" t="s">
        <v>181</v>
      </c>
      <c r="B100" s="3" t="s">
        <v>371</v>
      </c>
      <c r="C100" s="3" t="s">
        <v>372</v>
      </c>
      <c r="D100" s="3" t="s">
        <v>182</v>
      </c>
      <c r="E100" s="3" t="s">
        <v>21</v>
      </c>
      <c r="F100" s="3" t="s">
        <v>18</v>
      </c>
      <c r="G100" s="9">
        <v>15700000</v>
      </c>
      <c r="H100" s="9">
        <v>0</v>
      </c>
      <c r="I100" s="10">
        <v>0</v>
      </c>
      <c r="J100" s="3" t="s">
        <v>373</v>
      </c>
      <c r="K100" s="3" t="s">
        <v>379</v>
      </c>
      <c r="L100" s="3" t="s">
        <v>380</v>
      </c>
    </row>
    <row r="101" spans="1:12" ht="40.5">
      <c r="A101" s="3" t="s">
        <v>183</v>
      </c>
      <c r="B101" s="3" t="s">
        <v>371</v>
      </c>
      <c r="C101" s="3" t="s">
        <v>372</v>
      </c>
      <c r="D101" s="3" t="s">
        <v>184</v>
      </c>
      <c r="E101" s="3" t="s">
        <v>21</v>
      </c>
      <c r="F101" s="3" t="s">
        <v>18</v>
      </c>
      <c r="G101" s="9">
        <v>1440000</v>
      </c>
      <c r="H101" s="9">
        <v>0</v>
      </c>
      <c r="I101" s="10">
        <v>0</v>
      </c>
      <c r="J101" s="3" t="s">
        <v>373</v>
      </c>
      <c r="K101" s="3" t="s">
        <v>379</v>
      </c>
      <c r="L101" s="3" t="s">
        <v>380</v>
      </c>
    </row>
    <row r="102" spans="1:12" ht="27">
      <c r="A102" s="3" t="s">
        <v>185</v>
      </c>
      <c r="B102" s="3" t="s">
        <v>371</v>
      </c>
      <c r="C102" s="3" t="s">
        <v>372</v>
      </c>
      <c r="D102" s="3" t="s">
        <v>186</v>
      </c>
      <c r="E102" s="3" t="s">
        <v>21</v>
      </c>
      <c r="F102" s="3" t="s">
        <v>18</v>
      </c>
      <c r="G102" s="9">
        <v>125000</v>
      </c>
      <c r="H102" s="9">
        <v>0</v>
      </c>
      <c r="I102" s="10">
        <v>0</v>
      </c>
      <c r="J102" s="3" t="s">
        <v>373</v>
      </c>
      <c r="K102" s="3" t="s">
        <v>379</v>
      </c>
      <c r="L102" s="3" t="s">
        <v>380</v>
      </c>
    </row>
    <row r="103" spans="1:12" ht="27">
      <c r="A103" s="3" t="s">
        <v>194</v>
      </c>
      <c r="B103" s="3" t="s">
        <v>371</v>
      </c>
      <c r="C103" s="3" t="s">
        <v>372</v>
      </c>
      <c r="D103" s="3" t="s">
        <v>195</v>
      </c>
      <c r="E103" s="3" t="s">
        <v>21</v>
      </c>
      <c r="F103" s="3" t="s">
        <v>18</v>
      </c>
      <c r="G103" s="9">
        <v>760000</v>
      </c>
      <c r="H103" s="9">
        <v>0</v>
      </c>
      <c r="I103" s="10">
        <v>0</v>
      </c>
      <c r="J103" s="3" t="s">
        <v>373</v>
      </c>
      <c r="K103" s="3" t="s">
        <v>379</v>
      </c>
      <c r="L103" s="3" t="s">
        <v>380</v>
      </c>
    </row>
    <row r="104" spans="1:12" ht="27">
      <c r="A104" s="3" t="s">
        <v>196</v>
      </c>
      <c r="B104" s="3" t="s">
        <v>371</v>
      </c>
      <c r="C104" s="3" t="s">
        <v>372</v>
      </c>
      <c r="D104" s="3" t="s">
        <v>197</v>
      </c>
      <c r="E104" s="3" t="s">
        <v>21</v>
      </c>
      <c r="F104" s="3" t="s">
        <v>18</v>
      </c>
      <c r="G104" s="9">
        <v>125000</v>
      </c>
      <c r="H104" s="9">
        <v>0</v>
      </c>
      <c r="I104" s="10">
        <v>0</v>
      </c>
      <c r="J104" s="3" t="s">
        <v>373</v>
      </c>
      <c r="K104" s="3" t="s">
        <v>379</v>
      </c>
      <c r="L104" s="3" t="s">
        <v>380</v>
      </c>
    </row>
    <row r="105" spans="1:12" ht="27">
      <c r="A105" s="3" t="s">
        <v>198</v>
      </c>
      <c r="B105" s="3" t="s">
        <v>371</v>
      </c>
      <c r="C105" s="3" t="s">
        <v>372</v>
      </c>
      <c r="D105" s="3" t="s">
        <v>200</v>
      </c>
      <c r="E105" s="3" t="s">
        <v>21</v>
      </c>
      <c r="F105" s="3" t="s">
        <v>18</v>
      </c>
      <c r="G105" s="9">
        <v>173500000</v>
      </c>
      <c r="H105" s="9">
        <v>0</v>
      </c>
      <c r="I105" s="10">
        <v>0</v>
      </c>
      <c r="J105" s="3" t="s">
        <v>373</v>
      </c>
      <c r="K105" s="3" t="s">
        <v>382</v>
      </c>
      <c r="L105" s="3" t="s">
        <v>383</v>
      </c>
    </row>
    <row r="106" spans="1:12" ht="27">
      <c r="A106" s="3" t="s">
        <v>209</v>
      </c>
      <c r="B106" s="3" t="s">
        <v>371</v>
      </c>
      <c r="C106" s="3" t="s">
        <v>372</v>
      </c>
      <c r="D106" s="3" t="s">
        <v>210</v>
      </c>
      <c r="E106" s="3" t="s">
        <v>21</v>
      </c>
      <c r="F106" s="3" t="s">
        <v>18</v>
      </c>
      <c r="G106" s="9">
        <v>44010000</v>
      </c>
      <c r="H106" s="9">
        <v>0</v>
      </c>
      <c r="I106" s="10">
        <v>0</v>
      </c>
      <c r="J106" s="3" t="s">
        <v>373</v>
      </c>
      <c r="K106" s="3" t="s">
        <v>417</v>
      </c>
      <c r="L106" s="3" t="s">
        <v>45</v>
      </c>
    </row>
    <row r="107" spans="1:12" ht="54">
      <c r="A107" s="3" t="s">
        <v>211</v>
      </c>
      <c r="B107" s="3" t="s">
        <v>371</v>
      </c>
      <c r="C107" s="3" t="s">
        <v>372</v>
      </c>
      <c r="D107" s="3" t="s">
        <v>213</v>
      </c>
      <c r="E107" s="3" t="s">
        <v>21</v>
      </c>
      <c r="F107" s="3" t="s">
        <v>18</v>
      </c>
      <c r="G107" s="9">
        <v>80055000</v>
      </c>
      <c r="H107" s="9">
        <v>0</v>
      </c>
      <c r="I107" s="10">
        <v>0</v>
      </c>
      <c r="J107" s="3" t="s">
        <v>373</v>
      </c>
      <c r="K107" s="3" t="s">
        <v>418</v>
      </c>
      <c r="L107" s="3" t="s">
        <v>45</v>
      </c>
    </row>
    <row r="108" spans="1:12" ht="40.5">
      <c r="A108" s="3" t="s">
        <v>214</v>
      </c>
      <c r="B108" s="3" t="s">
        <v>371</v>
      </c>
      <c r="C108" s="3" t="s">
        <v>372</v>
      </c>
      <c r="D108" s="3" t="s">
        <v>215</v>
      </c>
      <c r="E108" s="3" t="s">
        <v>21</v>
      </c>
      <c r="F108" s="3" t="s">
        <v>18</v>
      </c>
      <c r="G108" s="9">
        <v>105000000</v>
      </c>
      <c r="H108" s="9">
        <v>0</v>
      </c>
      <c r="I108" s="10">
        <v>0</v>
      </c>
      <c r="J108" s="3" t="s">
        <v>373</v>
      </c>
      <c r="K108" s="3" t="s">
        <v>419</v>
      </c>
      <c r="L108" s="3" t="s">
        <v>45</v>
      </c>
    </row>
    <row r="109" spans="1:12" ht="27">
      <c r="A109" s="3" t="s">
        <v>218</v>
      </c>
      <c r="B109" s="3" t="s">
        <v>371</v>
      </c>
      <c r="C109" s="3" t="s">
        <v>372</v>
      </c>
      <c r="D109" s="3" t="s">
        <v>219</v>
      </c>
      <c r="E109" s="3" t="s">
        <v>21</v>
      </c>
      <c r="F109" s="3" t="s">
        <v>18</v>
      </c>
      <c r="G109" s="9">
        <v>70000000</v>
      </c>
      <c r="H109" s="9">
        <v>0</v>
      </c>
      <c r="I109" s="10">
        <v>0</v>
      </c>
      <c r="J109" s="3" t="s">
        <v>373</v>
      </c>
      <c r="K109" s="3" t="s">
        <v>420</v>
      </c>
      <c r="L109" s="3" t="s">
        <v>45</v>
      </c>
    </row>
    <row r="110" spans="1:12" ht="27">
      <c r="A110" s="3" t="s">
        <v>220</v>
      </c>
      <c r="B110" s="3" t="s">
        <v>371</v>
      </c>
      <c r="C110" s="3" t="s">
        <v>372</v>
      </c>
      <c r="D110" s="3" t="s">
        <v>221</v>
      </c>
      <c r="E110" s="3" t="s">
        <v>21</v>
      </c>
      <c r="F110" s="3" t="s">
        <v>18</v>
      </c>
      <c r="G110" s="9">
        <v>35000000</v>
      </c>
      <c r="H110" s="9">
        <v>0</v>
      </c>
      <c r="I110" s="10">
        <v>0</v>
      </c>
      <c r="J110" s="3" t="s">
        <v>373</v>
      </c>
      <c r="K110" s="3" t="s">
        <v>421</v>
      </c>
      <c r="L110" s="3" t="s">
        <v>45</v>
      </c>
    </row>
    <row r="111" spans="1:12" ht="27">
      <c r="A111" s="3" t="s">
        <v>222</v>
      </c>
      <c r="B111" s="3" t="s">
        <v>371</v>
      </c>
      <c r="C111" s="3" t="s">
        <v>372</v>
      </c>
      <c r="D111" s="3" t="s">
        <v>223</v>
      </c>
      <c r="E111" s="3" t="s">
        <v>21</v>
      </c>
      <c r="F111" s="3" t="s">
        <v>18</v>
      </c>
      <c r="G111" s="9">
        <v>35000000</v>
      </c>
      <c r="H111" s="9">
        <v>0</v>
      </c>
      <c r="I111" s="10">
        <v>0</v>
      </c>
      <c r="J111" s="3" t="s">
        <v>373</v>
      </c>
      <c r="K111" s="3" t="s">
        <v>421</v>
      </c>
      <c r="L111" s="3" t="s">
        <v>45</v>
      </c>
    </row>
    <row r="112" spans="1:12" ht="27">
      <c r="A112" s="3" t="s">
        <v>226</v>
      </c>
      <c r="B112" s="3" t="s">
        <v>371</v>
      </c>
      <c r="C112" s="3" t="s">
        <v>372</v>
      </c>
      <c r="D112" s="3" t="s">
        <v>227</v>
      </c>
      <c r="E112" s="3" t="s">
        <v>21</v>
      </c>
      <c r="F112" s="3" t="s">
        <v>18</v>
      </c>
      <c r="G112" s="9">
        <v>750000</v>
      </c>
      <c r="H112" s="9">
        <v>0</v>
      </c>
      <c r="I112" s="10">
        <v>0</v>
      </c>
      <c r="J112" s="3" t="s">
        <v>373</v>
      </c>
      <c r="K112" s="3" t="s">
        <v>422</v>
      </c>
      <c r="L112" s="3" t="s">
        <v>45</v>
      </c>
    </row>
    <row r="113" spans="1:12" ht="40.5">
      <c r="A113" s="3" t="s">
        <v>232</v>
      </c>
      <c r="B113" s="3" t="s">
        <v>371</v>
      </c>
      <c r="C113" s="3" t="s">
        <v>372</v>
      </c>
      <c r="D113" s="3" t="s">
        <v>233</v>
      </c>
      <c r="E113" s="3" t="s">
        <v>21</v>
      </c>
      <c r="F113" s="3" t="s">
        <v>18</v>
      </c>
      <c r="G113" s="9">
        <v>135040000</v>
      </c>
      <c r="H113" s="9">
        <v>0</v>
      </c>
      <c r="I113" s="10">
        <v>0</v>
      </c>
      <c r="J113" s="3" t="s">
        <v>373</v>
      </c>
      <c r="K113" s="3" t="s">
        <v>423</v>
      </c>
      <c r="L113" s="3" t="s">
        <v>424</v>
      </c>
    </row>
    <row r="114" spans="1:12" ht="67.5">
      <c r="A114" s="3" t="s">
        <v>236</v>
      </c>
      <c r="B114" s="3" t="s">
        <v>371</v>
      </c>
      <c r="C114" s="3" t="s">
        <v>372</v>
      </c>
      <c r="D114" s="3" t="s">
        <v>237</v>
      </c>
      <c r="E114" s="3" t="s">
        <v>21</v>
      </c>
      <c r="F114" s="3" t="s">
        <v>18</v>
      </c>
      <c r="G114" s="9">
        <v>244538000</v>
      </c>
      <c r="H114" s="9">
        <v>0</v>
      </c>
      <c r="I114" s="10">
        <v>0</v>
      </c>
      <c r="J114" s="3" t="s">
        <v>373</v>
      </c>
      <c r="K114" s="3" t="s">
        <v>425</v>
      </c>
      <c r="L114" s="3" t="s">
        <v>426</v>
      </c>
    </row>
    <row r="115" spans="1:12" ht="40.5">
      <c r="A115" s="3" t="s">
        <v>243</v>
      </c>
      <c r="B115" s="3" t="s">
        <v>371</v>
      </c>
      <c r="C115" s="3" t="s">
        <v>372</v>
      </c>
      <c r="D115" s="3" t="s">
        <v>244</v>
      </c>
      <c r="E115" s="3" t="s">
        <v>21</v>
      </c>
      <c r="F115" s="3" t="s">
        <v>18</v>
      </c>
      <c r="G115" s="9">
        <v>6720000</v>
      </c>
      <c r="H115" s="9">
        <v>0</v>
      </c>
      <c r="I115" s="10">
        <v>0</v>
      </c>
      <c r="J115" s="3" t="s">
        <v>373</v>
      </c>
      <c r="K115" s="3" t="s">
        <v>427</v>
      </c>
      <c r="L115" s="3" t="s">
        <v>424</v>
      </c>
    </row>
    <row r="116" spans="1:12" ht="40.5">
      <c r="A116" s="3" t="s">
        <v>245</v>
      </c>
      <c r="B116" s="3" t="s">
        <v>371</v>
      </c>
      <c r="C116" s="3" t="s">
        <v>372</v>
      </c>
      <c r="D116" s="3" t="s">
        <v>246</v>
      </c>
      <c r="E116" s="3" t="s">
        <v>21</v>
      </c>
      <c r="F116" s="3" t="s">
        <v>18</v>
      </c>
      <c r="G116" s="9">
        <v>1050000</v>
      </c>
      <c r="H116" s="9">
        <v>0</v>
      </c>
      <c r="I116" s="10">
        <v>0</v>
      </c>
      <c r="J116" s="3" t="s">
        <v>373</v>
      </c>
      <c r="K116" s="3" t="s">
        <v>428</v>
      </c>
      <c r="L116" s="3" t="s">
        <v>45</v>
      </c>
    </row>
    <row r="117" spans="1:12" ht="40.5">
      <c r="A117" s="3" t="s">
        <v>250</v>
      </c>
      <c r="B117" s="3" t="s">
        <v>371</v>
      </c>
      <c r="C117" s="3" t="s">
        <v>372</v>
      </c>
      <c r="D117" s="3" t="s">
        <v>251</v>
      </c>
      <c r="E117" s="3" t="s">
        <v>21</v>
      </c>
      <c r="F117" s="3" t="s">
        <v>18</v>
      </c>
      <c r="G117" s="9">
        <v>6720000</v>
      </c>
      <c r="H117" s="9">
        <v>0</v>
      </c>
      <c r="I117" s="10">
        <v>0</v>
      </c>
      <c r="J117" s="3" t="s">
        <v>373</v>
      </c>
      <c r="K117" s="3" t="s">
        <v>429</v>
      </c>
      <c r="L117" s="3" t="s">
        <v>45</v>
      </c>
    </row>
    <row r="118" spans="1:12" ht="40.5">
      <c r="A118" s="3" t="s">
        <v>252</v>
      </c>
      <c r="B118" s="3" t="s">
        <v>371</v>
      </c>
      <c r="C118" s="3" t="s">
        <v>372</v>
      </c>
      <c r="D118" s="3" t="s">
        <v>253</v>
      </c>
      <c r="E118" s="3" t="s">
        <v>21</v>
      </c>
      <c r="F118" s="3" t="s">
        <v>18</v>
      </c>
      <c r="G118" s="9">
        <v>26040000</v>
      </c>
      <c r="H118" s="9">
        <v>0</v>
      </c>
      <c r="I118" s="10">
        <v>0</v>
      </c>
      <c r="J118" s="3" t="s">
        <v>373</v>
      </c>
      <c r="K118" s="3" t="s">
        <v>431</v>
      </c>
      <c r="L118" s="3" t="s">
        <v>432</v>
      </c>
    </row>
    <row r="119" spans="1:12" ht="40.5">
      <c r="A119" s="3" t="s">
        <v>254</v>
      </c>
      <c r="B119" s="3" t="s">
        <v>371</v>
      </c>
      <c r="C119" s="3" t="s">
        <v>372</v>
      </c>
      <c r="D119" s="3" t="s">
        <v>255</v>
      </c>
      <c r="E119" s="3" t="s">
        <v>21</v>
      </c>
      <c r="F119" s="3" t="s">
        <v>18</v>
      </c>
      <c r="G119" s="9">
        <v>183632004</v>
      </c>
      <c r="H119" s="9">
        <v>0</v>
      </c>
      <c r="I119" s="10">
        <v>0</v>
      </c>
      <c r="J119" s="3" t="s">
        <v>373</v>
      </c>
      <c r="K119" s="3" t="s">
        <v>433</v>
      </c>
      <c r="L119" s="3" t="s">
        <v>424</v>
      </c>
    </row>
    <row r="120" spans="1:12" ht="40.5">
      <c r="A120" s="3" t="s">
        <v>256</v>
      </c>
      <c r="B120" s="3" t="s">
        <v>371</v>
      </c>
      <c r="C120" s="3" t="s">
        <v>372</v>
      </c>
      <c r="D120" s="3" t="s">
        <v>257</v>
      </c>
      <c r="E120" s="3" t="s">
        <v>21</v>
      </c>
      <c r="F120" s="3" t="s">
        <v>18</v>
      </c>
      <c r="G120" s="9">
        <v>297675000</v>
      </c>
      <c r="H120" s="9">
        <v>0</v>
      </c>
      <c r="I120" s="10">
        <v>0</v>
      </c>
      <c r="J120" s="3" t="s">
        <v>405</v>
      </c>
      <c r="K120" s="3" t="s">
        <v>434</v>
      </c>
      <c r="L120" s="3" t="s">
        <v>426</v>
      </c>
    </row>
    <row r="121" spans="1:12" ht="40.5">
      <c r="A121" s="3" t="s">
        <v>258</v>
      </c>
      <c r="B121" s="3" t="s">
        <v>371</v>
      </c>
      <c r="C121" s="3" t="s">
        <v>372</v>
      </c>
      <c r="D121" s="3" t="s">
        <v>110</v>
      </c>
      <c r="E121" s="3" t="s">
        <v>21</v>
      </c>
      <c r="F121" s="3" t="s">
        <v>18</v>
      </c>
      <c r="G121" s="9">
        <v>2750000</v>
      </c>
      <c r="H121" s="9">
        <v>0</v>
      </c>
      <c r="I121" s="10">
        <v>0</v>
      </c>
      <c r="J121" s="3" t="s">
        <v>373</v>
      </c>
      <c r="K121" s="3" t="s">
        <v>435</v>
      </c>
      <c r="L121" s="3" t="s">
        <v>432</v>
      </c>
    </row>
    <row r="122" spans="1:12" ht="40.5">
      <c r="A122" s="3" t="s">
        <v>259</v>
      </c>
      <c r="B122" s="3" t="s">
        <v>371</v>
      </c>
      <c r="C122" s="3" t="s">
        <v>372</v>
      </c>
      <c r="D122" s="3" t="s">
        <v>110</v>
      </c>
      <c r="E122" s="3" t="s">
        <v>21</v>
      </c>
      <c r="F122" s="3" t="s">
        <v>18</v>
      </c>
      <c r="G122" s="9">
        <v>1500000</v>
      </c>
      <c r="H122" s="9">
        <v>0</v>
      </c>
      <c r="I122" s="10">
        <v>0</v>
      </c>
      <c r="J122" s="3" t="s">
        <v>373</v>
      </c>
      <c r="K122" s="3" t="s">
        <v>436</v>
      </c>
      <c r="L122" s="3" t="s">
        <v>432</v>
      </c>
    </row>
    <row r="123" spans="1:12" ht="40.5">
      <c r="A123" s="3" t="s">
        <v>264</v>
      </c>
      <c r="B123" s="3" t="s">
        <v>371</v>
      </c>
      <c r="C123" s="3" t="s">
        <v>372</v>
      </c>
      <c r="D123" s="3" t="s">
        <v>265</v>
      </c>
      <c r="E123" s="3" t="s">
        <v>21</v>
      </c>
      <c r="F123" s="3" t="s">
        <v>18</v>
      </c>
      <c r="G123" s="9">
        <v>78560000</v>
      </c>
      <c r="H123" s="9">
        <v>0</v>
      </c>
      <c r="I123" s="10">
        <v>0</v>
      </c>
      <c r="J123" s="3" t="s">
        <v>373</v>
      </c>
      <c r="K123" s="3" t="s">
        <v>437</v>
      </c>
      <c r="L123" s="3" t="s">
        <v>424</v>
      </c>
    </row>
    <row r="124" spans="1:12" ht="40.5">
      <c r="A124" s="3" t="s">
        <v>266</v>
      </c>
      <c r="B124" s="3" t="s">
        <v>371</v>
      </c>
      <c r="C124" s="3" t="s">
        <v>372</v>
      </c>
      <c r="D124" s="3" t="s">
        <v>267</v>
      </c>
      <c r="E124" s="3" t="s">
        <v>21</v>
      </c>
      <c r="F124" s="3" t="s">
        <v>18</v>
      </c>
      <c r="G124" s="9">
        <v>160236000</v>
      </c>
      <c r="H124" s="9">
        <v>0</v>
      </c>
      <c r="I124" s="10">
        <v>0</v>
      </c>
      <c r="J124" s="3" t="s">
        <v>373</v>
      </c>
      <c r="K124" s="3" t="s">
        <v>438</v>
      </c>
      <c r="L124" s="3" t="s">
        <v>424</v>
      </c>
    </row>
    <row r="125" spans="1:12" ht="40.5">
      <c r="A125" s="3" t="s">
        <v>270</v>
      </c>
      <c r="B125" s="3" t="s">
        <v>371</v>
      </c>
      <c r="C125" s="3" t="s">
        <v>372</v>
      </c>
      <c r="D125" s="3" t="s">
        <v>271</v>
      </c>
      <c r="E125" s="3" t="s">
        <v>21</v>
      </c>
      <c r="F125" s="3" t="s">
        <v>18</v>
      </c>
      <c r="G125" s="9">
        <v>157270000</v>
      </c>
      <c r="H125" s="9">
        <v>0</v>
      </c>
      <c r="I125" s="10">
        <v>0</v>
      </c>
      <c r="J125" s="3" t="s">
        <v>373</v>
      </c>
      <c r="K125" s="3" t="s">
        <v>439</v>
      </c>
      <c r="L125" s="3" t="s">
        <v>424</v>
      </c>
    </row>
    <row r="126" spans="1:12" ht="40.5">
      <c r="A126" s="3" t="s">
        <v>272</v>
      </c>
      <c r="B126" s="3" t="s">
        <v>371</v>
      </c>
      <c r="C126" s="3" t="s">
        <v>372</v>
      </c>
      <c r="D126" s="3" t="s">
        <v>273</v>
      </c>
      <c r="E126" s="3" t="s">
        <v>21</v>
      </c>
      <c r="F126" s="3" t="s">
        <v>18</v>
      </c>
      <c r="G126" s="9">
        <v>111000000</v>
      </c>
      <c r="H126" s="9">
        <v>0</v>
      </c>
      <c r="I126" s="10">
        <v>0</v>
      </c>
      <c r="J126" s="3" t="s">
        <v>373</v>
      </c>
      <c r="K126" s="3" t="s">
        <v>440</v>
      </c>
      <c r="L126" s="3" t="s">
        <v>424</v>
      </c>
    </row>
    <row r="127" spans="1:12" ht="40.5">
      <c r="A127" s="3" t="s">
        <v>274</v>
      </c>
      <c r="B127" s="3" t="s">
        <v>371</v>
      </c>
      <c r="C127" s="3" t="s">
        <v>372</v>
      </c>
      <c r="D127" s="3" t="s">
        <v>275</v>
      </c>
      <c r="E127" s="3" t="s">
        <v>21</v>
      </c>
      <c r="F127" s="3" t="s">
        <v>18</v>
      </c>
      <c r="G127" s="9">
        <v>49995600</v>
      </c>
      <c r="H127" s="9">
        <v>0</v>
      </c>
      <c r="I127" s="10">
        <v>0</v>
      </c>
      <c r="J127" s="3" t="s">
        <v>373</v>
      </c>
      <c r="K127" s="3" t="s">
        <v>441</v>
      </c>
      <c r="L127" s="3" t="s">
        <v>404</v>
      </c>
    </row>
    <row r="128" spans="1:12" ht="54">
      <c r="A128" s="3" t="s">
        <v>276</v>
      </c>
      <c r="B128" s="3" t="s">
        <v>371</v>
      </c>
      <c r="C128" s="3" t="s">
        <v>372</v>
      </c>
      <c r="D128" s="3" t="s">
        <v>277</v>
      </c>
      <c r="E128" s="3" t="s">
        <v>21</v>
      </c>
      <c r="F128" s="3" t="s">
        <v>18</v>
      </c>
      <c r="G128" s="9">
        <v>17250000</v>
      </c>
      <c r="H128" s="9">
        <v>0</v>
      </c>
      <c r="I128" s="10">
        <v>0</v>
      </c>
      <c r="J128" s="3" t="s">
        <v>373</v>
      </c>
      <c r="K128" s="3" t="s">
        <v>442</v>
      </c>
      <c r="L128" s="3" t="s">
        <v>404</v>
      </c>
    </row>
    <row r="129" spans="1:12" ht="40.5">
      <c r="A129" s="3" t="s">
        <v>278</v>
      </c>
      <c r="B129" s="3" t="s">
        <v>371</v>
      </c>
      <c r="C129" s="3" t="s">
        <v>372</v>
      </c>
      <c r="D129" s="3" t="s">
        <v>279</v>
      </c>
      <c r="E129" s="3" t="s">
        <v>21</v>
      </c>
      <c r="F129" s="3" t="s">
        <v>22</v>
      </c>
      <c r="G129" s="9">
        <v>129844400</v>
      </c>
      <c r="H129" s="9">
        <v>11406300</v>
      </c>
      <c r="I129" s="10">
        <v>9</v>
      </c>
      <c r="J129" s="3" t="s">
        <v>373</v>
      </c>
      <c r="K129" s="3" t="s">
        <v>443</v>
      </c>
      <c r="L129" s="3" t="s">
        <v>424</v>
      </c>
    </row>
    <row r="130" spans="1:12" ht="40.5">
      <c r="A130" s="3" t="s">
        <v>280</v>
      </c>
      <c r="B130" s="3" t="s">
        <v>371</v>
      </c>
      <c r="C130" s="3" t="s">
        <v>372</v>
      </c>
      <c r="D130" s="3" t="s">
        <v>281</v>
      </c>
      <c r="E130" s="3" t="s">
        <v>21</v>
      </c>
      <c r="F130" s="3" t="s">
        <v>18</v>
      </c>
      <c r="G130" s="9">
        <v>43200000</v>
      </c>
      <c r="H130" s="9">
        <v>0</v>
      </c>
      <c r="I130" s="10">
        <v>0</v>
      </c>
      <c r="J130" s="3" t="s">
        <v>373</v>
      </c>
      <c r="K130" s="3" t="s">
        <v>444</v>
      </c>
      <c r="L130" s="3" t="s">
        <v>45</v>
      </c>
    </row>
    <row r="131" spans="1:12" ht="40.5">
      <c r="A131" s="3" t="s">
        <v>282</v>
      </c>
      <c r="B131" s="3" t="s">
        <v>371</v>
      </c>
      <c r="C131" s="3" t="s">
        <v>372</v>
      </c>
      <c r="D131" s="3" t="s">
        <v>283</v>
      </c>
      <c r="E131" s="3" t="s">
        <v>21</v>
      </c>
      <c r="F131" s="3" t="s">
        <v>18</v>
      </c>
      <c r="G131" s="9">
        <v>8990000</v>
      </c>
      <c r="H131" s="9">
        <v>0</v>
      </c>
      <c r="I131" s="10">
        <v>0</v>
      </c>
      <c r="J131" s="3" t="s">
        <v>373</v>
      </c>
      <c r="K131" s="3" t="s">
        <v>445</v>
      </c>
      <c r="L131" s="3" t="s">
        <v>45</v>
      </c>
    </row>
    <row r="132" spans="1:12" ht="40.5">
      <c r="A132" s="3" t="s">
        <v>284</v>
      </c>
      <c r="B132" s="3" t="s">
        <v>371</v>
      </c>
      <c r="C132" s="3" t="s">
        <v>372</v>
      </c>
      <c r="D132" s="3" t="s">
        <v>285</v>
      </c>
      <c r="E132" s="3" t="s">
        <v>21</v>
      </c>
      <c r="F132" s="3" t="s">
        <v>18</v>
      </c>
      <c r="G132" s="9">
        <v>21615000</v>
      </c>
      <c r="H132" s="9">
        <v>0</v>
      </c>
      <c r="I132" s="10">
        <v>0</v>
      </c>
      <c r="J132" s="3" t="s">
        <v>373</v>
      </c>
      <c r="K132" s="3" t="s">
        <v>446</v>
      </c>
      <c r="L132" s="3" t="s">
        <v>45</v>
      </c>
    </row>
    <row r="133" spans="1:12" ht="40.5">
      <c r="A133" s="3" t="s">
        <v>286</v>
      </c>
      <c r="B133" s="3" t="s">
        <v>371</v>
      </c>
      <c r="C133" s="3" t="s">
        <v>372</v>
      </c>
      <c r="D133" s="3" t="s">
        <v>287</v>
      </c>
      <c r="E133" s="3" t="s">
        <v>21</v>
      </c>
      <c r="F133" s="3" t="s">
        <v>18</v>
      </c>
      <c r="G133" s="9">
        <v>76726000</v>
      </c>
      <c r="H133" s="9">
        <v>0</v>
      </c>
      <c r="I133" s="10">
        <v>0</v>
      </c>
      <c r="J133" s="3" t="s">
        <v>373</v>
      </c>
      <c r="K133" s="3" t="s">
        <v>447</v>
      </c>
      <c r="L133" s="3" t="s">
        <v>424</v>
      </c>
    </row>
    <row r="134" spans="1:12" ht="40.5">
      <c r="A134" s="3" t="s">
        <v>288</v>
      </c>
      <c r="B134" s="3" t="s">
        <v>371</v>
      </c>
      <c r="C134" s="3" t="s">
        <v>372</v>
      </c>
      <c r="D134" s="3" t="s">
        <v>125</v>
      </c>
      <c r="E134" s="3" t="s">
        <v>21</v>
      </c>
      <c r="F134" s="3" t="s">
        <v>18</v>
      </c>
      <c r="G134" s="9">
        <v>48484000</v>
      </c>
      <c r="H134" s="9">
        <v>0</v>
      </c>
      <c r="I134" s="10">
        <v>0</v>
      </c>
      <c r="J134" s="3" t="s">
        <v>373</v>
      </c>
      <c r="K134" s="3" t="s">
        <v>448</v>
      </c>
      <c r="L134" s="3" t="s">
        <v>45</v>
      </c>
    </row>
    <row r="135" spans="1:12" ht="40.5">
      <c r="A135" s="3" t="s">
        <v>289</v>
      </c>
      <c r="B135" s="3" t="s">
        <v>371</v>
      </c>
      <c r="C135" s="3" t="s">
        <v>372</v>
      </c>
      <c r="D135" s="3" t="s">
        <v>290</v>
      </c>
      <c r="E135" s="3" t="s">
        <v>21</v>
      </c>
      <c r="F135" s="3" t="s">
        <v>18</v>
      </c>
      <c r="G135" s="9">
        <v>14500000</v>
      </c>
      <c r="H135" s="9">
        <v>0</v>
      </c>
      <c r="I135" s="10">
        <v>0</v>
      </c>
      <c r="J135" s="3" t="s">
        <v>373</v>
      </c>
      <c r="K135" s="3" t="s">
        <v>449</v>
      </c>
      <c r="L135" s="3" t="s">
        <v>45</v>
      </c>
    </row>
    <row r="136" spans="1:12" ht="54">
      <c r="A136" s="3" t="s">
        <v>291</v>
      </c>
      <c r="B136" s="3" t="s">
        <v>371</v>
      </c>
      <c r="C136" s="3" t="s">
        <v>372</v>
      </c>
      <c r="D136" s="3" t="s">
        <v>292</v>
      </c>
      <c r="E136" s="3" t="s">
        <v>21</v>
      </c>
      <c r="F136" s="3" t="s">
        <v>18</v>
      </c>
      <c r="G136" s="9">
        <v>140500000</v>
      </c>
      <c r="H136" s="9">
        <v>0</v>
      </c>
      <c r="I136" s="10">
        <v>0</v>
      </c>
      <c r="J136" s="3" t="s">
        <v>373</v>
      </c>
      <c r="K136" s="3" t="s">
        <v>450</v>
      </c>
      <c r="L136" s="3" t="s">
        <v>424</v>
      </c>
    </row>
    <row r="137" spans="1:12" ht="40.5">
      <c r="A137" s="3" t="s">
        <v>293</v>
      </c>
      <c r="B137" s="3" t="s">
        <v>371</v>
      </c>
      <c r="C137" s="3" t="s">
        <v>372</v>
      </c>
      <c r="D137" s="3" t="s">
        <v>294</v>
      </c>
      <c r="E137" s="3" t="s">
        <v>21</v>
      </c>
      <c r="F137" s="3" t="s">
        <v>18</v>
      </c>
      <c r="G137" s="9">
        <v>37500000</v>
      </c>
      <c r="H137" s="9">
        <v>0</v>
      </c>
      <c r="I137" s="10">
        <v>0</v>
      </c>
      <c r="J137" s="3" t="s">
        <v>373</v>
      </c>
      <c r="K137" s="3" t="s">
        <v>451</v>
      </c>
      <c r="L137" s="3" t="s">
        <v>404</v>
      </c>
    </row>
    <row r="138" spans="1:12" ht="67.5">
      <c r="A138" s="3" t="s">
        <v>295</v>
      </c>
      <c r="B138" s="3" t="s">
        <v>371</v>
      </c>
      <c r="C138" s="3" t="s">
        <v>372</v>
      </c>
      <c r="D138" s="3" t="s">
        <v>296</v>
      </c>
      <c r="E138" s="3" t="s">
        <v>21</v>
      </c>
      <c r="F138" s="3" t="s">
        <v>18</v>
      </c>
      <c r="G138" s="9">
        <v>129600000</v>
      </c>
      <c r="H138" s="9">
        <v>0</v>
      </c>
      <c r="I138" s="10">
        <v>0</v>
      </c>
      <c r="J138" s="3" t="s">
        <v>373</v>
      </c>
      <c r="K138" s="3" t="s">
        <v>452</v>
      </c>
      <c r="L138" s="3" t="s">
        <v>424</v>
      </c>
    </row>
    <row r="139" spans="1:12" ht="67.5">
      <c r="A139" s="3" t="s">
        <v>299</v>
      </c>
      <c r="B139" s="3" t="s">
        <v>371</v>
      </c>
      <c r="C139" s="3" t="s">
        <v>372</v>
      </c>
      <c r="D139" s="3" t="s">
        <v>300</v>
      </c>
      <c r="E139" s="3" t="s">
        <v>21</v>
      </c>
      <c r="F139" s="3" t="s">
        <v>18</v>
      </c>
      <c r="G139" s="9">
        <v>176040000</v>
      </c>
      <c r="H139" s="9">
        <v>0</v>
      </c>
      <c r="I139" s="10">
        <v>0</v>
      </c>
      <c r="J139" s="3" t="s">
        <v>373</v>
      </c>
      <c r="K139" s="3" t="s">
        <v>454</v>
      </c>
      <c r="L139" s="3" t="s">
        <v>424</v>
      </c>
    </row>
    <row r="140" spans="1:12" ht="40.5">
      <c r="A140" s="3" t="s">
        <v>301</v>
      </c>
      <c r="B140" s="3" t="s">
        <v>371</v>
      </c>
      <c r="C140" s="3" t="s">
        <v>372</v>
      </c>
      <c r="D140" s="3" t="s">
        <v>302</v>
      </c>
      <c r="E140" s="3" t="s">
        <v>21</v>
      </c>
      <c r="F140" s="3" t="s">
        <v>18</v>
      </c>
      <c r="G140" s="9">
        <v>15000000</v>
      </c>
      <c r="H140" s="9">
        <v>0</v>
      </c>
      <c r="I140" s="10">
        <v>0</v>
      </c>
      <c r="J140" s="3" t="s">
        <v>373</v>
      </c>
      <c r="K140" s="3" t="s">
        <v>455</v>
      </c>
      <c r="L140" s="3" t="s">
        <v>45</v>
      </c>
    </row>
    <row r="141" spans="1:12" ht="40.5">
      <c r="A141" s="3" t="s">
        <v>303</v>
      </c>
      <c r="B141" s="3" t="s">
        <v>371</v>
      </c>
      <c r="C141" s="3" t="s">
        <v>372</v>
      </c>
      <c r="D141" s="3" t="s">
        <v>304</v>
      </c>
      <c r="E141" s="3" t="s">
        <v>21</v>
      </c>
      <c r="F141" s="3" t="s">
        <v>18</v>
      </c>
      <c r="G141" s="9">
        <v>125000000</v>
      </c>
      <c r="H141" s="9">
        <v>0</v>
      </c>
      <c r="I141" s="10">
        <v>0</v>
      </c>
      <c r="J141" s="3" t="s">
        <v>373</v>
      </c>
      <c r="K141" s="3" t="s">
        <v>456</v>
      </c>
      <c r="L141" s="3" t="s">
        <v>424</v>
      </c>
    </row>
    <row r="142" spans="1:12" ht="40.5">
      <c r="A142" s="3" t="s">
        <v>305</v>
      </c>
      <c r="B142" s="3" t="s">
        <v>371</v>
      </c>
      <c r="C142" s="3" t="s">
        <v>372</v>
      </c>
      <c r="D142" s="3" t="s">
        <v>306</v>
      </c>
      <c r="E142" s="3" t="s">
        <v>21</v>
      </c>
      <c r="F142" s="3" t="s">
        <v>18</v>
      </c>
      <c r="G142" s="9">
        <v>173000000</v>
      </c>
      <c r="H142" s="9">
        <v>0</v>
      </c>
      <c r="I142" s="10">
        <v>0</v>
      </c>
      <c r="J142" s="3" t="s">
        <v>373</v>
      </c>
      <c r="K142" s="3" t="s">
        <v>458</v>
      </c>
      <c r="L142" s="3" t="s">
        <v>424</v>
      </c>
    </row>
    <row r="143" spans="1:12" ht="40.5">
      <c r="A143" s="3" t="s">
        <v>307</v>
      </c>
      <c r="B143" s="3" t="s">
        <v>371</v>
      </c>
      <c r="C143" s="3" t="s">
        <v>372</v>
      </c>
      <c r="D143" s="3" t="s">
        <v>308</v>
      </c>
      <c r="E143" s="3" t="s">
        <v>21</v>
      </c>
      <c r="F143" s="3" t="s">
        <v>18</v>
      </c>
      <c r="G143" s="9">
        <v>151470000</v>
      </c>
      <c r="H143" s="9">
        <v>0</v>
      </c>
      <c r="I143" s="10">
        <v>0</v>
      </c>
      <c r="J143" s="3" t="s">
        <v>373</v>
      </c>
      <c r="K143" s="3" t="s">
        <v>459</v>
      </c>
      <c r="L143" s="3" t="s">
        <v>424</v>
      </c>
    </row>
    <row r="144" spans="1:12" ht="40.5">
      <c r="A144" s="3" t="s">
        <v>309</v>
      </c>
      <c r="B144" s="3" t="s">
        <v>371</v>
      </c>
      <c r="C144" s="3" t="s">
        <v>372</v>
      </c>
      <c r="D144" s="3" t="s">
        <v>310</v>
      </c>
      <c r="E144" s="3" t="s">
        <v>21</v>
      </c>
      <c r="F144" s="3" t="s">
        <v>18</v>
      </c>
      <c r="G144" s="9">
        <v>120950000</v>
      </c>
      <c r="H144" s="9">
        <v>0</v>
      </c>
      <c r="I144" s="10">
        <v>0</v>
      </c>
      <c r="J144" s="3" t="s">
        <v>373</v>
      </c>
      <c r="K144" s="3" t="s">
        <v>460</v>
      </c>
      <c r="L144" s="3" t="s">
        <v>424</v>
      </c>
    </row>
    <row r="145" spans="1:12" ht="40.5">
      <c r="A145" s="3" t="s">
        <v>311</v>
      </c>
      <c r="B145" s="3" t="s">
        <v>371</v>
      </c>
      <c r="C145" s="3" t="s">
        <v>372</v>
      </c>
      <c r="D145" s="3" t="s">
        <v>312</v>
      </c>
      <c r="E145" s="3" t="s">
        <v>21</v>
      </c>
      <c r="F145" s="3" t="s">
        <v>18</v>
      </c>
      <c r="G145" s="9">
        <v>197046000</v>
      </c>
      <c r="H145" s="9">
        <v>0</v>
      </c>
      <c r="I145" s="10">
        <v>0</v>
      </c>
      <c r="J145" s="3" t="s">
        <v>373</v>
      </c>
      <c r="K145" s="3" t="s">
        <v>461</v>
      </c>
      <c r="L145" s="3" t="s">
        <v>424</v>
      </c>
    </row>
    <row r="146" spans="1:12" ht="40.5">
      <c r="A146" s="3" t="s">
        <v>313</v>
      </c>
      <c r="B146" s="3" t="s">
        <v>371</v>
      </c>
      <c r="C146" s="3" t="s">
        <v>372</v>
      </c>
      <c r="D146" s="3" t="s">
        <v>314</v>
      </c>
      <c r="E146" s="3" t="s">
        <v>21</v>
      </c>
      <c r="F146" s="3" t="s">
        <v>18</v>
      </c>
      <c r="G146" s="9">
        <v>179046000</v>
      </c>
      <c r="H146" s="9">
        <v>0</v>
      </c>
      <c r="I146" s="10">
        <v>0</v>
      </c>
      <c r="J146" s="3" t="s">
        <v>373</v>
      </c>
      <c r="K146" s="3" t="s">
        <v>462</v>
      </c>
      <c r="L146" s="3" t="s">
        <v>424</v>
      </c>
    </row>
    <row r="147" spans="1:12" ht="40.5">
      <c r="A147" s="3" t="s">
        <v>315</v>
      </c>
      <c r="B147" s="3" t="s">
        <v>371</v>
      </c>
      <c r="C147" s="3" t="s">
        <v>372</v>
      </c>
      <c r="D147" s="3" t="s">
        <v>316</v>
      </c>
      <c r="E147" s="3" t="s">
        <v>21</v>
      </c>
      <c r="F147" s="3" t="s">
        <v>18</v>
      </c>
      <c r="G147" s="9">
        <v>159046000</v>
      </c>
      <c r="H147" s="9">
        <v>0</v>
      </c>
      <c r="I147" s="10">
        <v>0</v>
      </c>
      <c r="J147" s="3" t="s">
        <v>373</v>
      </c>
      <c r="K147" s="3" t="s">
        <v>463</v>
      </c>
      <c r="L147" s="3" t="s">
        <v>424</v>
      </c>
    </row>
    <row r="148" spans="1:12" ht="40.5">
      <c r="A148" s="3" t="s">
        <v>317</v>
      </c>
      <c r="B148" s="3" t="s">
        <v>371</v>
      </c>
      <c r="C148" s="3" t="s">
        <v>372</v>
      </c>
      <c r="D148" s="3" t="s">
        <v>318</v>
      </c>
      <c r="E148" s="3" t="s">
        <v>21</v>
      </c>
      <c r="F148" s="3" t="s">
        <v>18</v>
      </c>
      <c r="G148" s="9">
        <v>69650000</v>
      </c>
      <c r="H148" s="9">
        <v>0</v>
      </c>
      <c r="I148" s="10">
        <v>0</v>
      </c>
      <c r="J148" s="3" t="s">
        <v>373</v>
      </c>
      <c r="K148" s="3" t="s">
        <v>464</v>
      </c>
      <c r="L148" s="3" t="s">
        <v>424</v>
      </c>
    </row>
    <row r="149" spans="1:12" ht="27">
      <c r="A149" s="3" t="s">
        <v>329</v>
      </c>
      <c r="B149" s="3" t="s">
        <v>371</v>
      </c>
      <c r="C149" s="3" t="s">
        <v>372</v>
      </c>
      <c r="D149" s="3" t="s">
        <v>330</v>
      </c>
      <c r="E149" s="3" t="s">
        <v>21</v>
      </c>
      <c r="F149" s="3" t="s">
        <v>18</v>
      </c>
      <c r="G149" s="9">
        <v>45600000</v>
      </c>
      <c r="H149" s="9">
        <v>0</v>
      </c>
      <c r="I149" s="10">
        <v>0</v>
      </c>
      <c r="J149" s="3" t="s">
        <v>373</v>
      </c>
      <c r="K149" s="3" t="s">
        <v>465</v>
      </c>
      <c r="L149" s="3" t="s">
        <v>45</v>
      </c>
    </row>
    <row r="150" spans="1:12" ht="40.5">
      <c r="A150" s="3" t="s">
        <v>337</v>
      </c>
      <c r="B150" s="3" t="s">
        <v>371</v>
      </c>
      <c r="C150" s="3" t="s">
        <v>372</v>
      </c>
      <c r="D150" s="3" t="s">
        <v>338</v>
      </c>
      <c r="E150" s="3" t="s">
        <v>21</v>
      </c>
      <c r="F150" s="3" t="s">
        <v>18</v>
      </c>
      <c r="G150" s="9">
        <v>28450000</v>
      </c>
      <c r="H150" s="9">
        <v>0</v>
      </c>
      <c r="I150" s="10">
        <v>0</v>
      </c>
      <c r="J150" s="3" t="s">
        <v>373</v>
      </c>
      <c r="K150" s="3" t="s">
        <v>466</v>
      </c>
      <c r="L150" s="3" t="s">
        <v>424</v>
      </c>
    </row>
    <row r="151" spans="1:12" ht="40.5">
      <c r="A151" s="3" t="s">
        <v>342</v>
      </c>
      <c r="B151" s="3" t="s">
        <v>371</v>
      </c>
      <c r="C151" s="3" t="s">
        <v>372</v>
      </c>
      <c r="D151" s="3" t="s">
        <v>344</v>
      </c>
      <c r="E151" s="3" t="s">
        <v>21</v>
      </c>
      <c r="F151" s="3" t="s">
        <v>18</v>
      </c>
      <c r="G151" s="9">
        <v>59259000</v>
      </c>
      <c r="H151" s="9">
        <v>0</v>
      </c>
      <c r="I151" s="10">
        <v>0</v>
      </c>
      <c r="J151" s="3" t="s">
        <v>373</v>
      </c>
      <c r="K151" s="3" t="s">
        <v>468</v>
      </c>
      <c r="L151" s="3" t="s">
        <v>424</v>
      </c>
    </row>
    <row r="152" spans="1:12" ht="40.5">
      <c r="A152" s="3" t="s">
        <v>345</v>
      </c>
      <c r="B152" s="3" t="s">
        <v>371</v>
      </c>
      <c r="C152" s="3" t="s">
        <v>372</v>
      </c>
      <c r="D152" s="3" t="s">
        <v>346</v>
      </c>
      <c r="E152" s="3" t="s">
        <v>21</v>
      </c>
      <c r="F152" s="3" t="s">
        <v>18</v>
      </c>
      <c r="G152" s="9">
        <v>37475000</v>
      </c>
      <c r="H152" s="9">
        <v>0</v>
      </c>
      <c r="I152" s="10">
        <v>0</v>
      </c>
      <c r="J152" s="3" t="s">
        <v>373</v>
      </c>
      <c r="K152" s="3" t="s">
        <v>469</v>
      </c>
      <c r="L152" s="3" t="s">
        <v>45</v>
      </c>
    </row>
    <row r="153" spans="1:12" ht="40.5">
      <c r="A153" s="3" t="s">
        <v>347</v>
      </c>
      <c r="B153" s="3" t="s">
        <v>371</v>
      </c>
      <c r="C153" s="3" t="s">
        <v>372</v>
      </c>
      <c r="D153" s="3" t="s">
        <v>348</v>
      </c>
      <c r="E153" s="3" t="s">
        <v>21</v>
      </c>
      <c r="F153" s="3" t="s">
        <v>18</v>
      </c>
      <c r="G153" s="9">
        <v>97500000</v>
      </c>
      <c r="H153" s="9">
        <v>0</v>
      </c>
      <c r="I153" s="10">
        <v>0</v>
      </c>
      <c r="J153" s="3" t="s">
        <v>373</v>
      </c>
      <c r="K153" s="3" t="s">
        <v>470</v>
      </c>
      <c r="L153" s="3" t="s">
        <v>424</v>
      </c>
    </row>
    <row r="154" spans="1:12" ht="40.5">
      <c r="A154" s="3" t="s">
        <v>349</v>
      </c>
      <c r="B154" s="3" t="s">
        <v>371</v>
      </c>
      <c r="C154" s="3" t="s">
        <v>372</v>
      </c>
      <c r="D154" s="3" t="s">
        <v>350</v>
      </c>
      <c r="E154" s="3" t="s">
        <v>21</v>
      </c>
      <c r="F154" s="3" t="s">
        <v>18</v>
      </c>
      <c r="G154" s="9">
        <v>10410000</v>
      </c>
      <c r="H154" s="9">
        <v>0</v>
      </c>
      <c r="I154" s="10">
        <v>0</v>
      </c>
      <c r="J154" s="3" t="s">
        <v>373</v>
      </c>
      <c r="K154" s="3" t="s">
        <v>471</v>
      </c>
      <c r="L154" s="3" t="s">
        <v>45</v>
      </c>
    </row>
    <row r="155" spans="1:12" ht="40.5">
      <c r="A155" s="3" t="s">
        <v>351</v>
      </c>
      <c r="B155" s="3" t="s">
        <v>371</v>
      </c>
      <c r="C155" s="3" t="s">
        <v>372</v>
      </c>
      <c r="D155" s="3" t="s">
        <v>352</v>
      </c>
      <c r="E155" s="3" t="s">
        <v>21</v>
      </c>
      <c r="F155" s="3" t="s">
        <v>18</v>
      </c>
      <c r="G155" s="9">
        <v>25800000</v>
      </c>
      <c r="H155" s="9">
        <v>0</v>
      </c>
      <c r="I155" s="10">
        <v>0</v>
      </c>
      <c r="J155" s="3" t="s">
        <v>373</v>
      </c>
      <c r="K155" s="3" t="s">
        <v>472</v>
      </c>
      <c r="L155" s="3" t="s">
        <v>45</v>
      </c>
    </row>
    <row r="156" spans="1:12" ht="40.5">
      <c r="A156" s="3" t="s">
        <v>353</v>
      </c>
      <c r="B156" s="3" t="s">
        <v>371</v>
      </c>
      <c r="C156" s="3" t="s">
        <v>372</v>
      </c>
      <c r="D156" s="3" t="s">
        <v>354</v>
      </c>
      <c r="E156" s="3" t="s">
        <v>21</v>
      </c>
      <c r="F156" s="3" t="s">
        <v>18</v>
      </c>
      <c r="G156" s="9">
        <v>28000000</v>
      </c>
      <c r="H156" s="9">
        <v>0</v>
      </c>
      <c r="I156" s="10">
        <v>0</v>
      </c>
      <c r="J156" s="3" t="s">
        <v>373</v>
      </c>
      <c r="K156" s="3" t="s">
        <v>473</v>
      </c>
      <c r="L156" s="3" t="s">
        <v>45</v>
      </c>
    </row>
    <row r="157" spans="1:12" ht="40.5">
      <c r="A157" s="3" t="s">
        <v>355</v>
      </c>
      <c r="B157" s="3" t="s">
        <v>371</v>
      </c>
      <c r="C157" s="3" t="s">
        <v>372</v>
      </c>
      <c r="D157" s="3" t="s">
        <v>356</v>
      </c>
      <c r="E157" s="3" t="s">
        <v>21</v>
      </c>
      <c r="F157" s="3" t="s">
        <v>18</v>
      </c>
      <c r="G157" s="9">
        <v>15200000</v>
      </c>
      <c r="H157" s="9">
        <v>0</v>
      </c>
      <c r="I157" s="10">
        <v>0</v>
      </c>
      <c r="J157" s="3" t="s">
        <v>373</v>
      </c>
      <c r="K157" s="3" t="s">
        <v>474</v>
      </c>
      <c r="L157" s="3" t="s">
        <v>45</v>
      </c>
    </row>
    <row r="158" spans="1:12" ht="40.5">
      <c r="A158" s="3" t="s">
        <v>357</v>
      </c>
      <c r="B158" s="3" t="s">
        <v>371</v>
      </c>
      <c r="C158" s="3" t="s">
        <v>372</v>
      </c>
      <c r="D158" s="3" t="s">
        <v>358</v>
      </c>
      <c r="E158" s="3" t="s">
        <v>21</v>
      </c>
      <c r="F158" s="3" t="s">
        <v>18</v>
      </c>
      <c r="G158" s="9">
        <v>2000000</v>
      </c>
      <c r="H158" s="9">
        <v>0</v>
      </c>
      <c r="I158" s="10">
        <v>0</v>
      </c>
      <c r="J158" s="3" t="s">
        <v>373</v>
      </c>
      <c r="K158" s="3" t="s">
        <v>475</v>
      </c>
      <c r="L158" s="3" t="s">
        <v>45</v>
      </c>
    </row>
    <row r="159" spans="1:12" ht="40.5">
      <c r="A159" s="3" t="s">
        <v>359</v>
      </c>
      <c r="B159" s="3" t="s">
        <v>371</v>
      </c>
      <c r="C159" s="3" t="s">
        <v>372</v>
      </c>
      <c r="D159" s="3" t="s">
        <v>360</v>
      </c>
      <c r="E159" s="3" t="s">
        <v>21</v>
      </c>
      <c r="F159" s="3" t="s">
        <v>18</v>
      </c>
      <c r="G159" s="9">
        <v>64546000</v>
      </c>
      <c r="H159" s="9">
        <v>0</v>
      </c>
      <c r="I159" s="10">
        <v>0</v>
      </c>
      <c r="J159" s="3" t="s">
        <v>373</v>
      </c>
      <c r="K159" s="3" t="s">
        <v>476</v>
      </c>
      <c r="L159" s="3" t="s">
        <v>424</v>
      </c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Perbandingan</vt:lpstr>
      <vt:lpstr>Perubahan</vt:lpstr>
      <vt:lpstr>Data_05_Agu</vt:lpstr>
      <vt:lpstr>Data_12_Agu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UKPBJ -</cp:lastModifiedBy>
  <dcterms:modified xsi:type="dcterms:W3CDTF">2026-08-18T06:04:10Z</dcterms:modified>
</cp:coreProperties>
</file>