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Aldiva\App\Project-PBJ-GOD\data\analisa\"/>
    </mc:Choice>
  </mc:AlternateContent>
  <xr:revisionPtr revIDLastSave="0" documentId="13_ncr:1_{185B69B8-6C1C-4CB9-A16D-F562B519A37C}" xr6:coauthVersionLast="47" xr6:coauthVersionMax="47" xr10:uidLastSave="{00000000-0000-0000-0000-000000000000}"/>
  <bookViews>
    <workbookView xWindow="-120" yWindow="-120" windowWidth="29040" windowHeight="15720" xr2:uid="{D70C1943-8DA2-407D-8A52-87BDFDBD853A}"/>
  </bookViews>
  <sheets>
    <sheet name="Data" sheetId="2" r:id="rId1"/>
    <sheet name="Detail Pencatatan" sheetId="1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8" i="2" l="1"/>
  <c r="N5" i="2"/>
  <c r="D42" i="1"/>
  <c r="D40" i="1"/>
  <c r="C40" i="1"/>
</calcChain>
</file>

<file path=xl/sharedStrings.xml><?xml version="1.0" encoding="utf-8"?>
<sst xmlns="http://schemas.openxmlformats.org/spreadsheetml/2006/main" count="208" uniqueCount="64">
  <si>
    <t>No.</t>
  </si>
  <si>
    <t>Nama Paket</t>
  </si>
  <si>
    <t>Jenis Pengadaan</t>
  </si>
  <si>
    <t>Versi</t>
  </si>
  <si>
    <t>Status</t>
  </si>
  <si>
    <t>Tanggal Buat</t>
  </si>
  <si>
    <t>Satuan Kerja</t>
  </si>
  <si>
    <t>Langganan CapCut</t>
  </si>
  <si>
    <t>Pengadaan Langsung</t>
  </si>
  <si>
    <t>spse 4.5</t>
  </si>
  <si>
    <t>Draft</t>
  </si>
  <si>
    <t>Sekretariat Jenderal</t>
  </si>
  <si>
    <t>Sewa Mesin Foto Copy (TU Biro Umum)</t>
  </si>
  <si>
    <t>[TU Menteri dan Wakil Menteri] Belanja Pemeliharaan Peralatan dan Mesin-Pengadaan BBM Kendaraan Dinas Ops. Kegiatan Menteri</t>
  </si>
  <si>
    <t>[TU Menteri dan Wakil Menteri] Belanja Pemeliharaan Peralatan dan Mesin-Pemeliharaan Komputer/Notebook</t>
  </si>
  <si>
    <t>[TU Menteri dan Wakil Menteri] Belanja Barang Persediaan Barang Konsumsi-Cetak Amplop Surat Menteri</t>
  </si>
  <si>
    <t>Belanja Pemerliharaan Peralatan Perkantoran - Notebook</t>
  </si>
  <si>
    <t>[TU Menteri dan Wakil Menteri] Belanja Sewa-Sewa mesin fotocopy Digital</t>
  </si>
  <si>
    <t>Fumigasi Ruang Arsip</t>
  </si>
  <si>
    <t>Fumigasi Ruang Arsip Kranji</t>
  </si>
  <si>
    <t>Penyemprotan anti jamur ruang arsip walang</t>
  </si>
  <si>
    <t>Penyemprotan anti jamur ruang arsip gatsu 51</t>
  </si>
  <si>
    <t>Pemeliharaan Komputer TU Biro Umum</t>
  </si>
  <si>
    <t>Belanja Pemerliharaan Peralatan Perkantoran - Printer</t>
  </si>
  <si>
    <t>[TU Menteri dan Wakil Menteri] Belanja Sewa-sarana transport penunjang operasional Menteri</t>
  </si>
  <si>
    <t>Perawatan Arsip Pusat Arsip Gatsu 51</t>
  </si>
  <si>
    <t>perawatan arsip pusat arsip walang</t>
  </si>
  <si>
    <t>Belanja Pemerliharaan Peralatan Perkantoran - PC</t>
  </si>
  <si>
    <t>Anti Rayap Ruang Arsip Gatsu 51</t>
  </si>
  <si>
    <t>Paket Sudah Selesai</t>
  </si>
  <si>
    <t>Anti Rayap Ruang Arsip Walang</t>
  </si>
  <si>
    <t>Anti Rayap Ruang Arsip Kranji</t>
  </si>
  <si>
    <t>Sarana Pendukung Kearsipan</t>
  </si>
  <si>
    <t>Belanja Bahan (Konsumsi Rapat Bimtek SIKN-JIKN)</t>
  </si>
  <si>
    <t>(Persuratan dan Kearsipan ) Cetak Buku Permenaker Tata Naskah Dinas</t>
  </si>
  <si>
    <t>Konsumsi rapat Pemilihan Arsiparis Teladan</t>
  </si>
  <si>
    <t>[TU Menteri dan Wakil Menteri] Belanja Sewa-sarana transport penunjang operasional Wakil Menteri</t>
  </si>
  <si>
    <t>Konsumsi rapat Audit Kearsipan Internal dan Eksternal</t>
  </si>
  <si>
    <t>Belanja Sewa Kendaraan</t>
  </si>
  <si>
    <t>Operasional PBJ - Langganan Canva PBJ</t>
  </si>
  <si>
    <t>Pengecualian</t>
  </si>
  <si>
    <t>Operasional PBJ - Langganan Zoom Meeting</t>
  </si>
  <si>
    <t>Operasional PBJ - Pemeliharaan Printer PBJ</t>
  </si>
  <si>
    <t>Operasional PBJ - Pemeliharaan personal komputer PBJ</t>
  </si>
  <si>
    <t>Operasional PBJ - Biaya Kerumahtanggaan PBJ</t>
  </si>
  <si>
    <t>Operasional PBJ - Pengadaan Sarana Pendukung Pelayanan PBJ</t>
  </si>
  <si>
    <t>Operasional PBJ - Pemeliharaan personal Laptop PBJ</t>
  </si>
  <si>
    <t>[Protokol] Belanja Pemeliharaan Kendaraan Dinas</t>
  </si>
  <si>
    <t>Belanja Bahan</t>
  </si>
  <si>
    <t>Ditjen Pembinaan Pelatihan Vokasi dan Produktivitas</t>
  </si>
  <si>
    <t>Realisasi</t>
  </si>
  <si>
    <t>Total Dicatatkan</t>
  </si>
  <si>
    <t>Total Draft</t>
  </si>
  <si>
    <t>Total Sudah Selesai</t>
  </si>
  <si>
    <t>(dikurangi belanja bahan)</t>
  </si>
  <si>
    <t xml:space="preserve">Total Pagu Biro Umum = </t>
  </si>
  <si>
    <t>TOTAL BELUM REALISASI</t>
  </si>
  <si>
    <t>TOTAL ANGGARAN</t>
  </si>
  <si>
    <t>TOTAL REALISASI</t>
  </si>
  <si>
    <t>BIRO UMUM</t>
  </si>
  <si>
    <t>TOTAL PAKET</t>
  </si>
  <si>
    <t>TOTAL PAKET REALISASI</t>
  </si>
  <si>
    <t>TOTAL PAKET BELUM REALISASI</t>
  </si>
  <si>
    <t>PERSEN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</si>
</sst>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Rp&quot;#,##0;[Red]\-&quot;Rp&quot;#,##0"/>
    <numFmt numFmtId="170" formatCode="&quot;Rp&quot;#,##0.00"/>
  </numFmts>
  <fonts count="5" x14ac:knownFonts="1">
    <font>
      <sz val="11"/>
      <color theme="1"/>
      <name val="Calibri"/>
      <family val="2"/>
      <charset val="1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9"/>
      <color rgb="FF212529"/>
      <name val="Arial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/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medium">
        <color rgb="FFC4C7C5"/>
      </left>
      <right/>
      <top style="medium">
        <color rgb="FFC4C7C5"/>
      </top>
      <bottom style="medium">
        <color rgb="FFC4C7C5"/>
      </bottom>
      <diagonal/>
    </border>
    <border>
      <left/>
      <right style="medium">
        <color rgb="FFC4C7C5"/>
      </right>
      <top/>
      <bottom style="medium">
        <color rgb="FFC4C7C5"/>
      </bottom>
      <diagonal/>
    </border>
    <border>
      <left style="medium">
        <color rgb="FFC4C7C5"/>
      </left>
      <right style="medium">
        <color rgb="FFC4C7C5"/>
      </right>
      <top/>
      <bottom style="medium">
        <color rgb="FFC4C7C5"/>
      </bottom>
      <diagonal/>
    </border>
    <border>
      <left style="medium">
        <color rgb="FFC4C7C5"/>
      </left>
      <right/>
      <top/>
      <bottom style="medium">
        <color rgb="FFC4C7C5"/>
      </bottom>
      <diagonal/>
    </border>
    <border>
      <left/>
      <right style="medium">
        <color rgb="FFC4C7C5"/>
      </right>
      <top style="medium">
        <color rgb="FFC4C7C5"/>
      </top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  <border>
      <left style="medium">
        <color rgb="FFC4C7C5"/>
      </left>
      <right/>
      <top style="medium">
        <color rgb="FFC4C7C5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left" vertical="center" wrapText="1" indent="1" readingOrder="1"/>
    </xf>
    <xf numFmtId="15" fontId="1" fillId="0" borderId="1" xfId="0" applyNumberFormat="1" applyFont="1" applyBorder="1" applyAlignment="1">
      <alignment horizontal="left" vertical="center" wrapText="1" indent="1" readingOrder="1"/>
    </xf>
    <xf numFmtId="0" fontId="1" fillId="0" borderId="2" xfId="0" applyFont="1" applyBorder="1" applyAlignment="1">
      <alignment horizontal="left" vertical="center" wrapText="1" indent="1" readingOrder="1"/>
    </xf>
    <xf numFmtId="0" fontId="1" fillId="0" borderId="3" xfId="0" applyFont="1" applyBorder="1" applyAlignment="1">
      <alignment horizontal="left" vertical="center" wrapText="1" indent="1" readingOrder="1"/>
    </xf>
    <xf numFmtId="0" fontId="2" fillId="0" borderId="4" xfId="0" applyFont="1" applyBorder="1" applyAlignment="1">
      <alignment horizontal="left" vertical="center" wrapText="1" indent="1" readingOrder="1"/>
    </xf>
    <xf numFmtId="0" fontId="2" fillId="0" borderId="5" xfId="0" applyFont="1" applyBorder="1" applyAlignment="1">
      <alignment horizontal="left" vertical="center" wrapText="1" indent="1" readingOrder="1"/>
    </xf>
    <xf numFmtId="0" fontId="2" fillId="0" borderId="6" xfId="0" applyFont="1" applyBorder="1" applyAlignment="1">
      <alignment horizontal="left" vertical="center" wrapText="1" indent="1" readingOrder="1"/>
    </xf>
    <xf numFmtId="0" fontId="1" fillId="0" borderId="7" xfId="0" applyFont="1" applyBorder="1" applyAlignment="1">
      <alignment horizontal="left" vertical="center" wrapText="1" indent="1" readingOrder="1"/>
    </xf>
    <xf numFmtId="0" fontId="1" fillId="0" borderId="8" xfId="0" applyFont="1" applyBorder="1" applyAlignment="1">
      <alignment horizontal="left" vertical="center" wrapText="1" indent="1" readingOrder="1"/>
    </xf>
    <xf numFmtId="15" fontId="1" fillId="0" borderId="8" xfId="0" applyNumberFormat="1" applyFont="1" applyBorder="1" applyAlignment="1">
      <alignment horizontal="left" vertical="center" wrapText="1" indent="1" readingOrder="1"/>
    </xf>
    <xf numFmtId="0" fontId="1" fillId="0" borderId="9" xfId="0" applyFont="1" applyBorder="1" applyAlignment="1">
      <alignment horizontal="left" vertical="center" wrapText="1" indent="1" readingOrder="1"/>
    </xf>
    <xf numFmtId="170" fontId="3" fillId="0" borderId="0" xfId="0" applyNumberFormat="1" applyFont="1"/>
    <xf numFmtId="170" fontId="0" fillId="0" borderId="0" xfId="0" applyNumberFormat="1"/>
    <xf numFmtId="6" fontId="0" fillId="0" borderId="0" xfId="0" applyNumberFormat="1"/>
    <xf numFmtId="6" fontId="0" fillId="0" borderId="0" xfId="0" applyNumberFormat="1" applyAlignment="1">
      <alignment wrapText="1"/>
    </xf>
    <xf numFmtId="0" fontId="4" fillId="0" borderId="0" xfId="0" applyFont="1"/>
  </cellXfs>
  <cellStyles count="1">
    <cellStyle name="Normal" xfId="0" builtinId="0"/>
  </cellStyles>
  <dxfs count="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numFmt numFmtId="170" formatCode="&quot;Rp&quot;#,##0.00"/>
      <alignment horizontal="left" vertical="center" textRotation="0" wrapText="1" indent="1" justifyLastLine="0" shrinkToFit="0" readingOrder="1"/>
      <border diagonalUp="0" diagonalDown="0" outline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 outline="0">
        <left/>
        <right style="medium">
          <color rgb="FFC4C7C5"/>
        </right>
        <top style="medium">
          <color rgb="FFC4C7C5"/>
        </top>
        <bottom style="medium">
          <color rgb="FFC4C7C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 outline="0">
        <left style="medium">
          <color rgb="FFC4C7C5"/>
        </left>
        <right/>
        <top style="medium">
          <color rgb="FFC4C7C5"/>
        </top>
        <bottom style="medium">
          <color rgb="FFC4C7C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C4C7C5"/>
        </left>
        <right/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numFmt numFmtId="20" formatCode="dd\-mmm\-yy"/>
      <alignment horizontal="left" vertical="center" textRotation="0" wrapText="1" indent="1" justifyLastLine="0" shrinkToFit="0" readingOrder="1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/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border outline="0">
        <top style="medium">
          <color rgb="FFC4C7C5"/>
        </top>
      </border>
    </dxf>
    <dxf>
      <border outline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</dxf>
    <dxf>
      <border outline="0">
        <bottom style="medium">
          <color rgb="FFC4C7C5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 outline="0">
        <left style="medium">
          <color rgb="FFC4C7C5"/>
        </left>
        <right style="medium">
          <color rgb="FFC4C7C5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4DBC4DF-7697-4045-8347-19CBD5AD0FA8}" name="Table1" displayName="Table1" ref="A1:H38" totalsRowShown="0" headerRowDxfId="12" dataDxfId="10" headerRowBorderDxfId="11" tableBorderDxfId="9" totalsRowBorderDxfId="8">
  <autoFilter ref="A1:H38" xr:uid="{A4DBC4DF-7697-4045-8347-19CBD5AD0FA8}"/>
  <tableColumns count="8">
    <tableColumn id="1" xr3:uid="{A3E99C5C-118E-47FC-A662-D854DA496883}" name="No." dataDxfId="7"/>
    <tableColumn id="2" xr3:uid="{7C24C7A3-3EC5-4855-B2DD-F2FA37381133}" name="Nama Paket" dataDxfId="2"/>
    <tableColumn id="8" xr3:uid="{0AD749DF-4008-481D-B9E6-CE6694278850}" name="Realisasi" dataDxfId="0"/>
    <tableColumn id="3" xr3:uid="{9CF0BA43-AC3F-473E-8DEF-F3032ABF7B83}" name="Jenis Pengadaan" dataDxfId="1"/>
    <tableColumn id="4" xr3:uid="{38CC3496-2132-491B-8DFE-BD2EB8F08F69}" name="Versi" dataDxfId="6"/>
    <tableColumn id="5" xr3:uid="{61DD6BE3-A723-4B9F-A77B-D02AE1163CA8}" name="Status" dataDxfId="5"/>
    <tableColumn id="6" xr3:uid="{82C1B736-3EE2-40D7-B007-F60EFDECAA23}" name="Tanggal Buat" dataDxfId="4"/>
    <tableColumn id="7" xr3:uid="{EF3DD873-4FD8-438B-8328-C5802D1373A6}" name="Satuan Kerja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F542-F3EF-4BEE-9E68-7B7C9F856CE6}">
  <dimension ref="C3:O8"/>
  <sheetViews>
    <sheetView tabSelected="1" workbookViewId="0">
      <selection activeCell="N12" sqref="N12"/>
    </sheetView>
  </sheetViews>
  <sheetFormatPr defaultRowHeight="15" x14ac:dyDescent="0.25"/>
  <cols>
    <col min="7" max="7" width="16.140625" bestFit="1" customWidth="1"/>
  </cols>
  <sheetData>
    <row r="3" spans="3:15" x14ac:dyDescent="0.25">
      <c r="C3" t="s">
        <v>59</v>
      </c>
    </row>
    <row r="5" spans="3:15" x14ac:dyDescent="0.25">
      <c r="C5" t="s">
        <v>57</v>
      </c>
      <c r="G5" s="14">
        <v>55497936000</v>
      </c>
      <c r="I5" t="s">
        <v>60</v>
      </c>
      <c r="L5">
        <v>205</v>
      </c>
      <c r="N5" s="16">
        <f>G6/G5*100</f>
        <v>43.409780520486386</v>
      </c>
      <c r="O5" t="s">
        <v>63</v>
      </c>
    </row>
    <row r="6" spans="3:15" x14ac:dyDescent="0.25">
      <c r="C6" t="s">
        <v>58</v>
      </c>
      <c r="G6" s="15">
        <v>24091532211</v>
      </c>
      <c r="I6" t="s">
        <v>61</v>
      </c>
      <c r="L6">
        <v>34</v>
      </c>
    </row>
    <row r="8" spans="3:15" x14ac:dyDescent="0.25">
      <c r="C8" t="s">
        <v>56</v>
      </c>
      <c r="G8" s="14">
        <v>31406403788</v>
      </c>
      <c r="I8" t="s">
        <v>62</v>
      </c>
      <c r="L8">
        <v>171</v>
      </c>
      <c r="N8" s="16">
        <f>G8/G5*100</f>
        <v>56.590219477711742</v>
      </c>
      <c r="O8" t="s">
        <v>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145BB-E621-426D-AACB-F2AB3690949C}">
  <dimension ref="A1:H51"/>
  <sheetViews>
    <sheetView zoomScale="85" zoomScaleNormal="85" workbookViewId="0">
      <selection activeCell="C40" sqref="C40"/>
    </sheetView>
  </sheetViews>
  <sheetFormatPr defaultRowHeight="15" x14ac:dyDescent="0.25"/>
  <cols>
    <col min="1" max="1" width="7.85546875" customWidth="1"/>
    <col min="2" max="2" width="83.7109375" bestFit="1" customWidth="1"/>
    <col min="3" max="3" width="43.7109375" customWidth="1"/>
    <col min="4" max="4" width="35" customWidth="1"/>
    <col min="5" max="5" width="25.7109375" bestFit="1" customWidth="1"/>
    <col min="6" max="6" width="34.140625" customWidth="1"/>
    <col min="7" max="7" width="35.5703125" customWidth="1"/>
    <col min="8" max="8" width="56.28515625" customWidth="1"/>
  </cols>
  <sheetData>
    <row r="1" spans="1:8" ht="15.75" thickBot="1" x14ac:dyDescent="0.3">
      <c r="A1" s="5" t="s">
        <v>0</v>
      </c>
      <c r="B1" s="6" t="s">
        <v>1</v>
      </c>
      <c r="C1" s="6" t="s">
        <v>50</v>
      </c>
      <c r="D1" s="6" t="s">
        <v>2</v>
      </c>
      <c r="E1" s="6" t="s">
        <v>3</v>
      </c>
      <c r="F1" s="6" t="s">
        <v>4</v>
      </c>
      <c r="G1" s="6" t="s">
        <v>5</v>
      </c>
      <c r="H1" s="7" t="s">
        <v>6</v>
      </c>
    </row>
    <row r="2" spans="1:8" ht="15.75" thickBot="1" x14ac:dyDescent="0.3">
      <c r="A2" s="3">
        <v>1</v>
      </c>
      <c r="B2" s="1" t="s">
        <v>7</v>
      </c>
      <c r="C2" s="12">
        <v>1809000</v>
      </c>
      <c r="D2" s="1" t="s">
        <v>8</v>
      </c>
      <c r="E2" s="1" t="s">
        <v>9</v>
      </c>
      <c r="F2" s="1" t="s">
        <v>10</v>
      </c>
      <c r="G2" s="2">
        <v>46255</v>
      </c>
      <c r="H2" s="4" t="s">
        <v>11</v>
      </c>
    </row>
    <row r="3" spans="1:8" ht="15.75" thickBot="1" x14ac:dyDescent="0.3">
      <c r="A3" s="3">
        <v>2</v>
      </c>
      <c r="B3" s="1" t="s">
        <v>12</v>
      </c>
      <c r="C3" s="12">
        <v>66000000</v>
      </c>
      <c r="D3" s="1" t="s">
        <v>8</v>
      </c>
      <c r="E3" s="1" t="s">
        <v>9</v>
      </c>
      <c r="F3" s="1" t="s">
        <v>10</v>
      </c>
      <c r="G3" s="2">
        <v>46255</v>
      </c>
      <c r="H3" s="4" t="s">
        <v>11</v>
      </c>
    </row>
    <row r="4" spans="1:8" ht="29.25" thickBot="1" x14ac:dyDescent="0.3">
      <c r="A4" s="3">
        <v>3</v>
      </c>
      <c r="B4" s="1" t="s">
        <v>13</v>
      </c>
      <c r="C4" s="12">
        <v>86400000</v>
      </c>
      <c r="D4" s="1" t="s">
        <v>8</v>
      </c>
      <c r="E4" s="1" t="s">
        <v>9</v>
      </c>
      <c r="F4" s="1" t="s">
        <v>10</v>
      </c>
      <c r="G4" s="2">
        <v>46255</v>
      </c>
      <c r="H4" s="4" t="s">
        <v>11</v>
      </c>
    </row>
    <row r="5" spans="1:8" ht="29.25" thickBot="1" x14ac:dyDescent="0.3">
      <c r="A5" s="3">
        <v>4</v>
      </c>
      <c r="B5" s="1" t="s">
        <v>14</v>
      </c>
      <c r="C5" s="12">
        <v>15000000</v>
      </c>
      <c r="D5" s="1" t="s">
        <v>8</v>
      </c>
      <c r="E5" s="1" t="s">
        <v>9</v>
      </c>
      <c r="F5" s="1" t="s">
        <v>10</v>
      </c>
      <c r="G5" s="2">
        <v>46255</v>
      </c>
      <c r="H5" s="4" t="s">
        <v>11</v>
      </c>
    </row>
    <row r="6" spans="1:8" ht="29.25" thickBot="1" x14ac:dyDescent="0.3">
      <c r="A6" s="3">
        <v>5</v>
      </c>
      <c r="B6" s="1" t="s">
        <v>15</v>
      </c>
      <c r="C6" s="12">
        <v>20000000</v>
      </c>
      <c r="D6" s="1" t="s">
        <v>8</v>
      </c>
      <c r="E6" s="1" t="s">
        <v>9</v>
      </c>
      <c r="F6" s="1" t="s">
        <v>10</v>
      </c>
      <c r="G6" s="2">
        <v>46255</v>
      </c>
      <c r="H6" s="4" t="s">
        <v>11</v>
      </c>
    </row>
    <row r="7" spans="1:8" ht="15.75" thickBot="1" x14ac:dyDescent="0.3">
      <c r="A7" s="3">
        <v>6</v>
      </c>
      <c r="B7" s="1" t="s">
        <v>16</v>
      </c>
      <c r="C7" s="12">
        <v>1890000</v>
      </c>
      <c r="D7" s="1" t="s">
        <v>8</v>
      </c>
      <c r="E7" s="1" t="s">
        <v>9</v>
      </c>
      <c r="F7" s="1" t="s">
        <v>10</v>
      </c>
      <c r="G7" s="2">
        <v>46255</v>
      </c>
      <c r="H7" s="4" t="s">
        <v>11</v>
      </c>
    </row>
    <row r="8" spans="1:8" ht="15.75" thickBot="1" x14ac:dyDescent="0.3">
      <c r="A8" s="3">
        <v>7</v>
      </c>
      <c r="B8" s="1" t="s">
        <v>17</v>
      </c>
      <c r="C8" s="12">
        <v>132000000</v>
      </c>
      <c r="D8" s="1" t="s">
        <v>8</v>
      </c>
      <c r="E8" s="1" t="s">
        <v>9</v>
      </c>
      <c r="F8" s="1" t="s">
        <v>10</v>
      </c>
      <c r="G8" s="2">
        <v>46254</v>
      </c>
      <c r="H8" s="4" t="s">
        <v>11</v>
      </c>
    </row>
    <row r="9" spans="1:8" ht="15.75" thickBot="1" x14ac:dyDescent="0.3">
      <c r="A9" s="3">
        <v>8</v>
      </c>
      <c r="B9" s="1" t="s">
        <v>18</v>
      </c>
      <c r="C9" s="12">
        <v>383250000</v>
      </c>
      <c r="D9" s="1" t="s">
        <v>8</v>
      </c>
      <c r="E9" s="1" t="s">
        <v>9</v>
      </c>
      <c r="F9" s="1" t="s">
        <v>10</v>
      </c>
      <c r="G9" s="2">
        <v>46254</v>
      </c>
      <c r="H9" s="4" t="s">
        <v>11</v>
      </c>
    </row>
    <row r="10" spans="1:8" ht="15.75" thickBot="1" x14ac:dyDescent="0.3">
      <c r="A10" s="3">
        <v>9</v>
      </c>
      <c r="B10" s="1" t="s">
        <v>19</v>
      </c>
      <c r="C10" s="12">
        <v>112390000</v>
      </c>
      <c r="D10" s="1" t="s">
        <v>8</v>
      </c>
      <c r="E10" s="1" t="s">
        <v>9</v>
      </c>
      <c r="F10" s="1" t="s">
        <v>10</v>
      </c>
      <c r="G10" s="2">
        <v>46254</v>
      </c>
      <c r="H10" s="4" t="s">
        <v>11</v>
      </c>
    </row>
    <row r="11" spans="1:8" ht="15.75" thickBot="1" x14ac:dyDescent="0.3">
      <c r="A11" s="3">
        <v>10</v>
      </c>
      <c r="B11" s="1" t="s">
        <v>20</v>
      </c>
      <c r="C11" s="12">
        <v>18900000</v>
      </c>
      <c r="D11" s="1" t="s">
        <v>8</v>
      </c>
      <c r="E11" s="1" t="s">
        <v>9</v>
      </c>
      <c r="F11" s="1" t="s">
        <v>10</v>
      </c>
      <c r="G11" s="2">
        <v>46254</v>
      </c>
      <c r="H11" s="4" t="s">
        <v>11</v>
      </c>
    </row>
    <row r="12" spans="1:8" ht="15.75" thickBot="1" x14ac:dyDescent="0.3">
      <c r="A12" s="3">
        <v>11</v>
      </c>
      <c r="B12" s="1" t="s">
        <v>21</v>
      </c>
      <c r="C12" s="12">
        <v>37800000</v>
      </c>
      <c r="D12" s="1" t="s">
        <v>8</v>
      </c>
      <c r="E12" s="1" t="s">
        <v>9</v>
      </c>
      <c r="F12" s="1" t="s">
        <v>10</v>
      </c>
      <c r="G12" s="2">
        <v>46254</v>
      </c>
      <c r="H12" s="4" t="s">
        <v>11</v>
      </c>
    </row>
    <row r="13" spans="1:8" ht="15.75" thickBot="1" x14ac:dyDescent="0.3">
      <c r="A13" s="3">
        <v>12</v>
      </c>
      <c r="B13" s="1" t="s">
        <v>22</v>
      </c>
      <c r="C13" s="12">
        <v>11680000</v>
      </c>
      <c r="D13" s="1" t="s">
        <v>8</v>
      </c>
      <c r="E13" s="1" t="s">
        <v>9</v>
      </c>
      <c r="F13" s="1" t="s">
        <v>10</v>
      </c>
      <c r="G13" s="2">
        <v>46254</v>
      </c>
      <c r="H13" s="4" t="s">
        <v>11</v>
      </c>
    </row>
    <row r="14" spans="1:8" ht="15.75" thickBot="1" x14ac:dyDescent="0.3">
      <c r="A14" s="3">
        <v>13</v>
      </c>
      <c r="B14" s="1" t="s">
        <v>23</v>
      </c>
      <c r="C14" s="12">
        <v>5850000</v>
      </c>
      <c r="D14" s="1" t="s">
        <v>8</v>
      </c>
      <c r="E14" s="1" t="s">
        <v>9</v>
      </c>
      <c r="F14" s="1" t="s">
        <v>10</v>
      </c>
      <c r="G14" s="2">
        <v>46254</v>
      </c>
      <c r="H14" s="4" t="s">
        <v>11</v>
      </c>
    </row>
    <row r="15" spans="1:8" ht="29.25" thickBot="1" x14ac:dyDescent="0.3">
      <c r="A15" s="3">
        <v>14</v>
      </c>
      <c r="B15" s="1" t="s">
        <v>24</v>
      </c>
      <c r="C15" s="12">
        <v>211920000</v>
      </c>
      <c r="D15" s="1" t="s">
        <v>8</v>
      </c>
      <c r="E15" s="1" t="s">
        <v>9</v>
      </c>
      <c r="F15" s="1" t="s">
        <v>10</v>
      </c>
      <c r="G15" s="2">
        <v>46254</v>
      </c>
      <c r="H15" s="4" t="s">
        <v>11</v>
      </c>
    </row>
    <row r="16" spans="1:8" ht="15.75" thickBot="1" x14ac:dyDescent="0.3">
      <c r="A16" s="3">
        <v>15</v>
      </c>
      <c r="B16" s="1" t="s">
        <v>25</v>
      </c>
      <c r="C16" s="12">
        <v>54000000</v>
      </c>
      <c r="D16" s="1" t="s">
        <v>8</v>
      </c>
      <c r="E16" s="1" t="s">
        <v>9</v>
      </c>
      <c r="F16" s="1" t="s">
        <v>10</v>
      </c>
      <c r="G16" s="2">
        <v>46254</v>
      </c>
      <c r="H16" s="4" t="s">
        <v>11</v>
      </c>
    </row>
    <row r="17" spans="1:8" ht="15.75" thickBot="1" x14ac:dyDescent="0.3">
      <c r="A17" s="3">
        <v>16</v>
      </c>
      <c r="B17" s="1" t="s">
        <v>26</v>
      </c>
      <c r="C17" s="12">
        <v>54000000</v>
      </c>
      <c r="D17" s="1" t="s">
        <v>8</v>
      </c>
      <c r="E17" s="1" t="s">
        <v>9</v>
      </c>
      <c r="F17" s="1" t="s">
        <v>10</v>
      </c>
      <c r="G17" s="2">
        <v>46254</v>
      </c>
      <c r="H17" s="4" t="s">
        <v>11</v>
      </c>
    </row>
    <row r="18" spans="1:8" ht="15.75" thickBot="1" x14ac:dyDescent="0.3">
      <c r="A18" s="3">
        <v>17</v>
      </c>
      <c r="B18" s="1" t="s">
        <v>27</v>
      </c>
      <c r="C18" s="12">
        <v>6327000</v>
      </c>
      <c r="D18" s="1" t="s">
        <v>8</v>
      </c>
      <c r="E18" s="1" t="s">
        <v>9</v>
      </c>
      <c r="F18" s="1" t="s">
        <v>10</v>
      </c>
      <c r="G18" s="2">
        <v>46254</v>
      </c>
      <c r="H18" s="4" t="s">
        <v>11</v>
      </c>
    </row>
    <row r="19" spans="1:8" ht="15.75" thickBot="1" x14ac:dyDescent="0.3">
      <c r="A19" s="3">
        <v>18</v>
      </c>
      <c r="B19" s="1" t="s">
        <v>28</v>
      </c>
      <c r="C19" s="12">
        <v>21348000</v>
      </c>
      <c r="D19" s="1" t="s">
        <v>8</v>
      </c>
      <c r="E19" s="1" t="s">
        <v>9</v>
      </c>
      <c r="F19" s="1" t="s">
        <v>29</v>
      </c>
      <c r="G19" s="2">
        <v>46254</v>
      </c>
      <c r="H19" s="4" t="s">
        <v>11</v>
      </c>
    </row>
    <row r="20" spans="1:8" ht="15.75" thickBot="1" x14ac:dyDescent="0.3">
      <c r="A20" s="3">
        <v>19</v>
      </c>
      <c r="B20" s="1" t="s">
        <v>30</v>
      </c>
      <c r="C20" s="12">
        <v>50000000</v>
      </c>
      <c r="D20" s="1" t="s">
        <v>8</v>
      </c>
      <c r="E20" s="1" t="s">
        <v>9</v>
      </c>
      <c r="F20" s="1" t="s">
        <v>29</v>
      </c>
      <c r="G20" s="2">
        <v>46254</v>
      </c>
      <c r="H20" s="4" t="s">
        <v>11</v>
      </c>
    </row>
    <row r="21" spans="1:8" ht="15.75" thickBot="1" x14ac:dyDescent="0.3">
      <c r="A21" s="3">
        <v>20</v>
      </c>
      <c r="B21" s="1" t="s">
        <v>31</v>
      </c>
      <c r="C21" s="12">
        <v>39360000</v>
      </c>
      <c r="D21" s="1" t="s">
        <v>8</v>
      </c>
      <c r="E21" s="1" t="s">
        <v>9</v>
      </c>
      <c r="F21" s="1" t="s">
        <v>29</v>
      </c>
      <c r="G21" s="2">
        <v>46254</v>
      </c>
      <c r="H21" s="4" t="s">
        <v>11</v>
      </c>
    </row>
    <row r="22" spans="1:8" ht="15.75" thickBot="1" x14ac:dyDescent="0.3">
      <c r="A22" s="3">
        <v>21</v>
      </c>
      <c r="B22" s="1" t="s">
        <v>7</v>
      </c>
      <c r="C22" s="12">
        <v>2000000</v>
      </c>
      <c r="D22" s="1" t="s">
        <v>8</v>
      </c>
      <c r="E22" s="1" t="s">
        <v>9</v>
      </c>
      <c r="F22" s="1" t="s">
        <v>10</v>
      </c>
      <c r="G22" s="2">
        <v>46254</v>
      </c>
      <c r="H22" s="4" t="s">
        <v>11</v>
      </c>
    </row>
    <row r="23" spans="1:8" ht="15.75" thickBot="1" x14ac:dyDescent="0.3">
      <c r="A23" s="3">
        <v>22</v>
      </c>
      <c r="B23" s="1" t="s">
        <v>32</v>
      </c>
      <c r="C23" s="12">
        <v>10017000</v>
      </c>
      <c r="D23" s="1" t="s">
        <v>8</v>
      </c>
      <c r="E23" s="1" t="s">
        <v>9</v>
      </c>
      <c r="F23" s="1" t="s">
        <v>10</v>
      </c>
      <c r="G23" s="2">
        <v>46254</v>
      </c>
      <c r="H23" s="4" t="s">
        <v>11</v>
      </c>
    </row>
    <row r="24" spans="1:8" ht="15.75" thickBot="1" x14ac:dyDescent="0.3">
      <c r="A24" s="3">
        <v>23</v>
      </c>
      <c r="B24" s="1" t="s">
        <v>33</v>
      </c>
      <c r="C24" s="12">
        <v>9075000</v>
      </c>
      <c r="D24" s="1" t="s">
        <v>8</v>
      </c>
      <c r="E24" s="1" t="s">
        <v>9</v>
      </c>
      <c r="F24" s="1" t="s">
        <v>29</v>
      </c>
      <c r="G24" s="2">
        <v>46254</v>
      </c>
      <c r="H24" s="4" t="s">
        <v>11</v>
      </c>
    </row>
    <row r="25" spans="1:8" ht="15.75" thickBot="1" x14ac:dyDescent="0.3">
      <c r="A25" s="3">
        <v>24</v>
      </c>
      <c r="B25" s="1" t="s">
        <v>34</v>
      </c>
      <c r="C25" s="12">
        <v>34080000</v>
      </c>
      <c r="D25" s="1" t="s">
        <v>8</v>
      </c>
      <c r="E25" s="1" t="s">
        <v>9</v>
      </c>
      <c r="F25" s="1" t="s">
        <v>29</v>
      </c>
      <c r="G25" s="2">
        <v>46254</v>
      </c>
      <c r="H25" s="4" t="s">
        <v>11</v>
      </c>
    </row>
    <row r="26" spans="1:8" ht="15.75" thickBot="1" x14ac:dyDescent="0.3">
      <c r="A26" s="3">
        <v>25</v>
      </c>
      <c r="B26" s="1" t="s">
        <v>35</v>
      </c>
      <c r="C26" s="12">
        <v>3600000</v>
      </c>
      <c r="D26" s="1" t="s">
        <v>8</v>
      </c>
      <c r="E26" s="1" t="s">
        <v>9</v>
      </c>
      <c r="F26" s="1" t="s">
        <v>29</v>
      </c>
      <c r="G26" s="2">
        <v>46254</v>
      </c>
      <c r="H26" s="4" t="s">
        <v>11</v>
      </c>
    </row>
    <row r="27" spans="1:8" ht="29.25" thickBot="1" x14ac:dyDescent="0.3">
      <c r="A27" s="3">
        <v>26</v>
      </c>
      <c r="B27" s="1" t="s">
        <v>36</v>
      </c>
      <c r="C27" s="12">
        <v>528000000</v>
      </c>
      <c r="D27" s="1" t="s">
        <v>8</v>
      </c>
      <c r="E27" s="1" t="s">
        <v>9</v>
      </c>
      <c r="F27" s="1" t="s">
        <v>10</v>
      </c>
      <c r="G27" s="2">
        <v>46253</v>
      </c>
      <c r="H27" s="4" t="s">
        <v>11</v>
      </c>
    </row>
    <row r="28" spans="1:8" ht="15.75" thickBot="1" x14ac:dyDescent="0.3">
      <c r="A28" s="3">
        <v>27</v>
      </c>
      <c r="B28" s="1" t="s">
        <v>37</v>
      </c>
      <c r="C28" s="12">
        <v>7087000</v>
      </c>
      <c r="D28" s="1" t="s">
        <v>8</v>
      </c>
      <c r="E28" s="1" t="s">
        <v>9</v>
      </c>
      <c r="F28" s="1" t="s">
        <v>29</v>
      </c>
      <c r="G28" s="2">
        <v>46253</v>
      </c>
      <c r="H28" s="4" t="s">
        <v>11</v>
      </c>
    </row>
    <row r="29" spans="1:8" ht="15.75" thickBot="1" x14ac:dyDescent="0.3">
      <c r="A29" s="3">
        <v>28</v>
      </c>
      <c r="B29" s="1" t="s">
        <v>38</v>
      </c>
      <c r="C29" s="12">
        <v>77760000</v>
      </c>
      <c r="D29" s="1" t="s">
        <v>8</v>
      </c>
      <c r="E29" s="1" t="s">
        <v>9</v>
      </c>
      <c r="F29" s="1" t="s">
        <v>10</v>
      </c>
      <c r="G29" s="2">
        <v>46253</v>
      </c>
      <c r="H29" s="4" t="s">
        <v>11</v>
      </c>
    </row>
    <row r="30" spans="1:8" ht="15.75" thickBot="1" x14ac:dyDescent="0.3">
      <c r="A30" s="3">
        <v>29</v>
      </c>
      <c r="B30" s="1" t="s">
        <v>39</v>
      </c>
      <c r="C30" s="12">
        <v>775000</v>
      </c>
      <c r="D30" s="1" t="s">
        <v>40</v>
      </c>
      <c r="E30" s="1" t="s">
        <v>9</v>
      </c>
      <c r="F30" s="1" t="s">
        <v>29</v>
      </c>
      <c r="G30" s="2">
        <v>46247</v>
      </c>
      <c r="H30" s="4" t="s">
        <v>11</v>
      </c>
    </row>
    <row r="31" spans="1:8" ht="15.75" thickBot="1" x14ac:dyDescent="0.3">
      <c r="A31" s="3">
        <v>30</v>
      </c>
      <c r="B31" s="1" t="s">
        <v>41</v>
      </c>
      <c r="C31" s="12">
        <v>3392000</v>
      </c>
      <c r="D31" s="1" t="s">
        <v>40</v>
      </c>
      <c r="E31" s="1" t="s">
        <v>9</v>
      </c>
      <c r="F31" s="1" t="s">
        <v>29</v>
      </c>
      <c r="G31" s="2">
        <v>46247</v>
      </c>
      <c r="H31" s="4" t="s">
        <v>11</v>
      </c>
    </row>
    <row r="32" spans="1:8" ht="15.75" thickBot="1" x14ac:dyDescent="0.3">
      <c r="A32" s="3">
        <v>31</v>
      </c>
      <c r="B32" s="1" t="s">
        <v>42</v>
      </c>
      <c r="C32" s="12">
        <v>9315000</v>
      </c>
      <c r="D32" s="1" t="s">
        <v>8</v>
      </c>
      <c r="E32" s="1" t="s">
        <v>9</v>
      </c>
      <c r="F32" s="1" t="s">
        <v>10</v>
      </c>
      <c r="G32" s="2">
        <v>46245</v>
      </c>
      <c r="H32" s="4" t="s">
        <v>11</v>
      </c>
    </row>
    <row r="33" spans="1:8" ht="15.75" thickBot="1" x14ac:dyDescent="0.3">
      <c r="A33" s="3">
        <v>32</v>
      </c>
      <c r="B33" s="1" t="s">
        <v>43</v>
      </c>
      <c r="C33" s="12">
        <v>14454000</v>
      </c>
      <c r="D33" s="1" t="s">
        <v>8</v>
      </c>
      <c r="E33" s="1" t="s">
        <v>9</v>
      </c>
      <c r="F33" s="1" t="s">
        <v>10</v>
      </c>
      <c r="G33" s="2">
        <v>46244</v>
      </c>
      <c r="H33" s="4" t="s">
        <v>11</v>
      </c>
    </row>
    <row r="34" spans="1:8" ht="15.75" thickBot="1" x14ac:dyDescent="0.3">
      <c r="A34" s="3">
        <v>33</v>
      </c>
      <c r="B34" s="1" t="s">
        <v>44</v>
      </c>
      <c r="C34" s="12">
        <v>63600000</v>
      </c>
      <c r="D34" s="1" t="s">
        <v>8</v>
      </c>
      <c r="E34" s="1" t="s">
        <v>9</v>
      </c>
      <c r="F34" s="1" t="s">
        <v>10</v>
      </c>
      <c r="G34" s="2">
        <v>46244</v>
      </c>
      <c r="H34" s="4" t="s">
        <v>11</v>
      </c>
    </row>
    <row r="35" spans="1:8" ht="15.75" thickBot="1" x14ac:dyDescent="0.3">
      <c r="A35" s="3">
        <v>34</v>
      </c>
      <c r="B35" s="1" t="s">
        <v>45</v>
      </c>
      <c r="C35" s="12">
        <v>68400000</v>
      </c>
      <c r="D35" s="1" t="s">
        <v>8</v>
      </c>
      <c r="E35" s="1" t="s">
        <v>9</v>
      </c>
      <c r="F35" s="1" t="s">
        <v>10</v>
      </c>
      <c r="G35" s="2">
        <v>46244</v>
      </c>
      <c r="H35" s="4" t="s">
        <v>11</v>
      </c>
    </row>
    <row r="36" spans="1:8" ht="15.75" thickBot="1" x14ac:dyDescent="0.3">
      <c r="A36" s="3">
        <v>35</v>
      </c>
      <c r="B36" s="1" t="s">
        <v>46</v>
      </c>
      <c r="C36" s="12">
        <v>9855000</v>
      </c>
      <c r="D36" s="1" t="s">
        <v>8</v>
      </c>
      <c r="E36" s="1" t="s">
        <v>9</v>
      </c>
      <c r="F36" s="1" t="s">
        <v>10</v>
      </c>
      <c r="G36" s="2">
        <v>46244</v>
      </c>
      <c r="H36" s="4" t="s">
        <v>11</v>
      </c>
    </row>
    <row r="37" spans="1:8" ht="15.75" thickBot="1" x14ac:dyDescent="0.3">
      <c r="A37" s="3">
        <v>36</v>
      </c>
      <c r="B37" s="1" t="s">
        <v>47</v>
      </c>
      <c r="C37" s="12">
        <v>50895000</v>
      </c>
      <c r="D37" s="1" t="s">
        <v>8</v>
      </c>
      <c r="E37" s="1" t="s">
        <v>9</v>
      </c>
      <c r="F37" s="1" t="s">
        <v>10</v>
      </c>
      <c r="G37" s="2">
        <v>46190</v>
      </c>
      <c r="H37" s="4" t="s">
        <v>11</v>
      </c>
    </row>
    <row r="38" spans="1:8" x14ac:dyDescent="0.25">
      <c r="A38" s="8">
        <v>37</v>
      </c>
      <c r="B38" s="9" t="s">
        <v>48</v>
      </c>
      <c r="C38" s="12">
        <v>509710000</v>
      </c>
      <c r="D38" s="9" t="s">
        <v>8</v>
      </c>
      <c r="E38" s="9" t="s">
        <v>9</v>
      </c>
      <c r="F38" s="9" t="s">
        <v>10</v>
      </c>
      <c r="G38" s="10">
        <v>45842</v>
      </c>
      <c r="H38" s="11" t="s">
        <v>49</v>
      </c>
    </row>
    <row r="40" spans="1:8" x14ac:dyDescent="0.25">
      <c r="B40" t="s">
        <v>51</v>
      </c>
      <c r="C40" s="13">
        <f>SUM(Table1[Realisasi])</f>
        <v>2731939000</v>
      </c>
      <c r="D40" s="13">
        <f>C40-C38</f>
        <v>2222229000</v>
      </c>
      <c r="E40" t="s">
        <v>54</v>
      </c>
    </row>
    <row r="42" spans="1:8" x14ac:dyDescent="0.25">
      <c r="B42" t="s">
        <v>52</v>
      </c>
      <c r="C42" s="13">
        <v>2563222000</v>
      </c>
      <c r="D42" s="13">
        <f>C42-C38</f>
        <v>2053512000</v>
      </c>
      <c r="E42" t="s">
        <v>54</v>
      </c>
    </row>
    <row r="44" spans="1:8" x14ac:dyDescent="0.25">
      <c r="B44" t="s">
        <v>53</v>
      </c>
      <c r="C44" s="13">
        <v>168717000</v>
      </c>
    </row>
    <row r="51" spans="2:2" x14ac:dyDescent="0.25">
      <c r="B51" t="s">
        <v>55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Detail Pencatatan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Ridwan Mustofa</dc:creator>
  <cp:lastModifiedBy>Ridwan Mustofa</cp:lastModifiedBy>
  <dcterms:created xsi:type="dcterms:W3CDTF">2026-08-24T03:06:19Z</dcterms:created>
  <dcterms:modified xsi:type="dcterms:W3CDTF">2026-08-24T07:12:30Z</dcterms:modified>
</cp:coreProperties>
</file>